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\Desktop\Economy\"/>
    </mc:Choice>
  </mc:AlternateContent>
  <xr:revisionPtr revIDLastSave="0" documentId="13_ncr:1_{CE0E76E1-0A23-4655-91E5-A368FDB47F07}" xr6:coauthVersionLast="47" xr6:coauthVersionMax="47" xr10:uidLastSave="{00000000-0000-0000-0000-000000000000}"/>
  <bookViews>
    <workbookView xWindow="-108" yWindow="-108" windowWidth="23256" windowHeight="12576" tabRatio="500" activeTab="8" xr2:uid="{00000000-000D-0000-FFFF-FFFF00000000}"/>
  </bookViews>
  <sheets>
    <sheet name="USA" sheetId="1" r:id="rId1"/>
    <sheet name="Germany" sheetId="2" r:id="rId2"/>
    <sheet name="China" sheetId="3" r:id="rId3"/>
    <sheet name="Italy" sheetId="4" r:id="rId4"/>
    <sheet name="France" sheetId="5" r:id="rId5"/>
    <sheet name="Japan" sheetId="6" r:id="rId6"/>
    <sheet name="UK" sheetId="7" r:id="rId7"/>
    <sheet name="Iran" sheetId="8" r:id="rId8"/>
    <sheet name="Comaprison" sheetId="9" r:id="rId9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3" i="9" l="1"/>
  <c r="B274" i="9" s="1"/>
  <c r="F261" i="9"/>
  <c r="B267" i="9" s="1"/>
  <c r="I229" i="9"/>
  <c r="I228" i="9"/>
  <c r="I227" i="9"/>
  <c r="I226" i="9"/>
  <c r="I225" i="9"/>
  <c r="I220" i="9"/>
  <c r="H220" i="9"/>
  <c r="G220" i="9"/>
  <c r="F220" i="9"/>
  <c r="E220" i="9"/>
  <c r="D220" i="9"/>
  <c r="C220" i="9"/>
  <c r="B220" i="9"/>
  <c r="I219" i="9"/>
  <c r="H219" i="9"/>
  <c r="G219" i="9"/>
  <c r="F219" i="9"/>
  <c r="E219" i="9"/>
  <c r="D219" i="9"/>
  <c r="C219" i="9"/>
  <c r="B219" i="9"/>
  <c r="I218" i="9"/>
  <c r="H218" i="9"/>
  <c r="G218" i="9"/>
  <c r="F218" i="9"/>
  <c r="E218" i="9"/>
  <c r="D218" i="9"/>
  <c r="C218" i="9"/>
  <c r="B218" i="9"/>
  <c r="I217" i="9"/>
  <c r="H217" i="9"/>
  <c r="G217" i="9"/>
  <c r="F217" i="9"/>
  <c r="E217" i="9"/>
  <c r="D217" i="9"/>
  <c r="C217" i="9"/>
  <c r="B217" i="9"/>
  <c r="I216" i="9"/>
  <c r="H216" i="9"/>
  <c r="G216" i="9"/>
  <c r="F216" i="9"/>
  <c r="E216" i="9"/>
  <c r="D216" i="9"/>
  <c r="C216" i="9"/>
  <c r="B216" i="9"/>
  <c r="I215" i="9"/>
  <c r="H215" i="9"/>
  <c r="G215" i="9"/>
  <c r="F215" i="9"/>
  <c r="E215" i="9"/>
  <c r="D215" i="9"/>
  <c r="C215" i="9"/>
  <c r="B215" i="9"/>
  <c r="I214" i="9"/>
  <c r="H214" i="9"/>
  <c r="G214" i="9"/>
  <c r="F214" i="9"/>
  <c r="E214" i="9"/>
  <c r="D214" i="9"/>
  <c r="C214" i="9"/>
  <c r="B214" i="9"/>
  <c r="I213" i="9"/>
  <c r="H213" i="9"/>
  <c r="G213" i="9"/>
  <c r="F213" i="9"/>
  <c r="E213" i="9"/>
  <c r="D213" i="9"/>
  <c r="C213" i="9"/>
  <c r="B213" i="9"/>
  <c r="I212" i="9"/>
  <c r="H212" i="9"/>
  <c r="G212" i="9"/>
  <c r="F212" i="9"/>
  <c r="E212" i="9"/>
  <c r="D212" i="9"/>
  <c r="C212" i="9"/>
  <c r="B212" i="9"/>
  <c r="I211" i="9"/>
  <c r="H211" i="9"/>
  <c r="G211" i="9"/>
  <c r="F211" i="9"/>
  <c r="E211" i="9"/>
  <c r="D211" i="9"/>
  <c r="C211" i="9"/>
  <c r="B211" i="9"/>
  <c r="I210" i="9"/>
  <c r="H210" i="9"/>
  <c r="G210" i="9"/>
  <c r="F210" i="9"/>
  <c r="E210" i="9"/>
  <c r="D210" i="9"/>
  <c r="C210" i="9"/>
  <c r="B210" i="9"/>
  <c r="I209" i="9"/>
  <c r="H209" i="9"/>
  <c r="G209" i="9"/>
  <c r="F209" i="9"/>
  <c r="E209" i="9"/>
  <c r="D209" i="9"/>
  <c r="C209" i="9"/>
  <c r="B209" i="9"/>
  <c r="I208" i="9"/>
  <c r="H208" i="9"/>
  <c r="G208" i="9"/>
  <c r="F208" i="9"/>
  <c r="E208" i="9"/>
  <c r="D208" i="9"/>
  <c r="C208" i="9"/>
  <c r="B208" i="9"/>
  <c r="I207" i="9"/>
  <c r="H207" i="9"/>
  <c r="G207" i="9"/>
  <c r="F207" i="9"/>
  <c r="E207" i="9"/>
  <c r="D207" i="9"/>
  <c r="C207" i="9"/>
  <c r="B207" i="9"/>
  <c r="I206" i="9"/>
  <c r="H206" i="9"/>
  <c r="G206" i="9"/>
  <c r="F206" i="9"/>
  <c r="E206" i="9"/>
  <c r="D206" i="9"/>
  <c r="C206" i="9"/>
  <c r="B206" i="9"/>
  <c r="I205" i="9"/>
  <c r="H205" i="9"/>
  <c r="G205" i="9"/>
  <c r="F205" i="9"/>
  <c r="E205" i="9"/>
  <c r="D205" i="9"/>
  <c r="C205" i="9"/>
  <c r="B205" i="9"/>
  <c r="I204" i="9"/>
  <c r="H204" i="9"/>
  <c r="G204" i="9"/>
  <c r="F204" i="9"/>
  <c r="E204" i="9"/>
  <c r="D204" i="9"/>
  <c r="C204" i="9"/>
  <c r="B204" i="9"/>
  <c r="I203" i="9"/>
  <c r="H203" i="9"/>
  <c r="G203" i="9"/>
  <c r="F203" i="9"/>
  <c r="E203" i="9"/>
  <c r="D203" i="9"/>
  <c r="C203" i="9"/>
  <c r="B203" i="9"/>
  <c r="I202" i="9"/>
  <c r="H202" i="9"/>
  <c r="G202" i="9"/>
  <c r="F202" i="9"/>
  <c r="E202" i="9"/>
  <c r="D202" i="9"/>
  <c r="C202" i="9"/>
  <c r="B202" i="9"/>
  <c r="I201" i="9"/>
  <c r="H201" i="9"/>
  <c r="G201" i="9"/>
  <c r="F201" i="9"/>
  <c r="E201" i="9"/>
  <c r="D201" i="9"/>
  <c r="C201" i="9"/>
  <c r="B201" i="9"/>
  <c r="I200" i="9"/>
  <c r="H200" i="9"/>
  <c r="G200" i="9"/>
  <c r="F200" i="9"/>
  <c r="E200" i="9"/>
  <c r="D200" i="9"/>
  <c r="C200" i="9"/>
  <c r="B200" i="9"/>
  <c r="I199" i="9"/>
  <c r="H199" i="9"/>
  <c r="G199" i="9"/>
  <c r="F199" i="9"/>
  <c r="E199" i="9"/>
  <c r="D199" i="9"/>
  <c r="C199" i="9"/>
  <c r="B199" i="9"/>
  <c r="I198" i="9"/>
  <c r="H198" i="9"/>
  <c r="G198" i="9"/>
  <c r="F198" i="9"/>
  <c r="E198" i="9"/>
  <c r="D198" i="9"/>
  <c r="C198" i="9"/>
  <c r="B198" i="9"/>
  <c r="I197" i="9"/>
  <c r="H197" i="9"/>
  <c r="G197" i="9"/>
  <c r="F197" i="9"/>
  <c r="E197" i="9"/>
  <c r="D197" i="9"/>
  <c r="C197" i="9"/>
  <c r="B197" i="9"/>
  <c r="I196" i="9"/>
  <c r="H196" i="9"/>
  <c r="G196" i="9"/>
  <c r="F196" i="9"/>
  <c r="E196" i="9"/>
  <c r="D196" i="9"/>
  <c r="C196" i="9"/>
  <c r="B196" i="9"/>
  <c r="I131" i="9"/>
  <c r="H131" i="9"/>
  <c r="G131" i="9"/>
  <c r="F131" i="9"/>
  <c r="E131" i="9"/>
  <c r="D131" i="9"/>
  <c r="C131" i="9"/>
  <c r="B131" i="9"/>
  <c r="H73" i="9"/>
  <c r="I61" i="9"/>
  <c r="H61" i="9"/>
  <c r="G61" i="9"/>
  <c r="F61" i="9"/>
  <c r="E61" i="9"/>
  <c r="D61" i="9"/>
  <c r="C61" i="9"/>
  <c r="B61" i="9"/>
  <c r="R26" i="8"/>
  <c r="S26" i="8" s="1"/>
  <c r="I249" i="9" s="1"/>
  <c r="Q26" i="8"/>
  <c r="O26" i="8"/>
  <c r="I155" i="9" s="1"/>
  <c r="D26" i="8"/>
  <c r="H26" i="8" s="1"/>
  <c r="S25" i="8"/>
  <c r="I248" i="9" s="1"/>
  <c r="R25" i="8"/>
  <c r="Q25" i="8"/>
  <c r="O25" i="8"/>
  <c r="I154" i="9" s="1"/>
  <c r="D25" i="8"/>
  <c r="H25" i="8" s="1"/>
  <c r="S24" i="8"/>
  <c r="I247" i="9" s="1"/>
  <c r="R24" i="8"/>
  <c r="Q24" i="8"/>
  <c r="O24" i="8"/>
  <c r="I153" i="9" s="1"/>
  <c r="D24" i="8"/>
  <c r="R23" i="8"/>
  <c r="S23" i="8" s="1"/>
  <c r="I246" i="9" s="1"/>
  <c r="Q23" i="8"/>
  <c r="O23" i="8"/>
  <c r="I152" i="9" s="1"/>
  <c r="D23" i="8"/>
  <c r="L23" i="8" s="1"/>
  <c r="I82" i="9" s="1"/>
  <c r="R22" i="8"/>
  <c r="S22" i="8" s="1"/>
  <c r="I245" i="9" s="1"/>
  <c r="Q22" i="8"/>
  <c r="O22" i="8"/>
  <c r="I151" i="9" s="1"/>
  <c r="H22" i="8"/>
  <c r="D22" i="8"/>
  <c r="J22" i="8" s="1"/>
  <c r="S21" i="8"/>
  <c r="I244" i="9" s="1"/>
  <c r="R21" i="8"/>
  <c r="Q21" i="8"/>
  <c r="O21" i="8"/>
  <c r="I150" i="9" s="1"/>
  <c r="J21" i="8"/>
  <c r="H21" i="8"/>
  <c r="D21" i="8"/>
  <c r="L22" i="8" s="1"/>
  <c r="S20" i="8"/>
  <c r="I243" i="9" s="1"/>
  <c r="R20" i="8"/>
  <c r="Q20" i="8"/>
  <c r="O20" i="8"/>
  <c r="I149" i="9" s="1"/>
  <c r="D20" i="8"/>
  <c r="L20" i="8" s="1"/>
  <c r="I79" i="9" s="1"/>
  <c r="R19" i="8"/>
  <c r="S19" i="8" s="1"/>
  <c r="I242" i="9" s="1"/>
  <c r="Q19" i="8"/>
  <c r="O19" i="8"/>
  <c r="I148" i="9" s="1"/>
  <c r="L19" i="8"/>
  <c r="I78" i="9" s="1"/>
  <c r="J19" i="8"/>
  <c r="H19" i="8"/>
  <c r="D19" i="8"/>
  <c r="R18" i="8"/>
  <c r="S18" i="8" s="1"/>
  <c r="I241" i="9" s="1"/>
  <c r="Q18" i="8"/>
  <c r="O18" i="8"/>
  <c r="I147" i="9" s="1"/>
  <c r="J18" i="8"/>
  <c r="H18" i="8"/>
  <c r="D18" i="8"/>
  <c r="S17" i="8"/>
  <c r="I240" i="9" s="1"/>
  <c r="R17" i="8"/>
  <c r="Q17" i="8"/>
  <c r="O17" i="8"/>
  <c r="I146" i="9" s="1"/>
  <c r="D17" i="8"/>
  <c r="L18" i="8" s="1"/>
  <c r="I77" i="9" s="1"/>
  <c r="R16" i="8"/>
  <c r="S16" i="8" s="1"/>
  <c r="I239" i="9" s="1"/>
  <c r="Q16" i="8"/>
  <c r="O16" i="8"/>
  <c r="I145" i="9" s="1"/>
  <c r="D16" i="8"/>
  <c r="S15" i="8"/>
  <c r="I238" i="9" s="1"/>
  <c r="R15" i="8"/>
  <c r="Q15" i="8"/>
  <c r="O15" i="8"/>
  <c r="I144" i="9" s="1"/>
  <c r="L15" i="8"/>
  <c r="I74" i="9" s="1"/>
  <c r="D15" i="8"/>
  <c r="J15" i="8" s="1"/>
  <c r="S14" i="8"/>
  <c r="I237" i="9" s="1"/>
  <c r="R14" i="8"/>
  <c r="Q14" i="8"/>
  <c r="O14" i="8"/>
  <c r="I143" i="9" s="1"/>
  <c r="L14" i="8"/>
  <c r="I73" i="9" s="1"/>
  <c r="D14" i="8"/>
  <c r="J14" i="8" s="1"/>
  <c r="S13" i="8"/>
  <c r="I236" i="9" s="1"/>
  <c r="R13" i="8"/>
  <c r="Q13" i="8"/>
  <c r="O13" i="8"/>
  <c r="I142" i="9" s="1"/>
  <c r="J13" i="8"/>
  <c r="D13" i="8"/>
  <c r="H13" i="8" s="1"/>
  <c r="S12" i="8"/>
  <c r="I235" i="9" s="1"/>
  <c r="R12" i="8"/>
  <c r="Q12" i="8"/>
  <c r="O12" i="8"/>
  <c r="I141" i="9" s="1"/>
  <c r="J12" i="8"/>
  <c r="D12" i="8"/>
  <c r="R11" i="8"/>
  <c r="S11" i="8" s="1"/>
  <c r="I234" i="9" s="1"/>
  <c r="Q11" i="8"/>
  <c r="O11" i="8"/>
  <c r="I140" i="9" s="1"/>
  <c r="L11" i="8"/>
  <c r="I70" i="9" s="1"/>
  <c r="H11" i="8"/>
  <c r="D11" i="8"/>
  <c r="J11" i="8" s="1"/>
  <c r="R10" i="8"/>
  <c r="S10" i="8" s="1"/>
  <c r="I233" i="9" s="1"/>
  <c r="Q10" i="8"/>
  <c r="O10" i="8"/>
  <c r="I139" i="9" s="1"/>
  <c r="H10" i="8"/>
  <c r="D10" i="8"/>
  <c r="J10" i="8" s="1"/>
  <c r="R9" i="8"/>
  <c r="S9" i="8" s="1"/>
  <c r="I232" i="9" s="1"/>
  <c r="Q9" i="8"/>
  <c r="O9" i="8"/>
  <c r="I138" i="9" s="1"/>
  <c r="L9" i="8"/>
  <c r="I68" i="9" s="1"/>
  <c r="H9" i="8"/>
  <c r="D9" i="8"/>
  <c r="J9" i="8" s="1"/>
  <c r="R8" i="8"/>
  <c r="S8" i="8" s="1"/>
  <c r="I231" i="9" s="1"/>
  <c r="Q8" i="8"/>
  <c r="O8" i="8"/>
  <c r="I137" i="9" s="1"/>
  <c r="H8" i="8"/>
  <c r="D8" i="8"/>
  <c r="S7" i="8"/>
  <c r="I230" i="9" s="1"/>
  <c r="R7" i="8"/>
  <c r="O7" i="8"/>
  <c r="I136" i="9" s="1"/>
  <c r="D7" i="8"/>
  <c r="R6" i="8"/>
  <c r="O6" i="8"/>
  <c r="I135" i="9" s="1"/>
  <c r="D6" i="8"/>
  <c r="H6" i="8" s="1"/>
  <c r="R5" i="8"/>
  <c r="O5" i="8"/>
  <c r="I134" i="9" s="1"/>
  <c r="D5" i="8"/>
  <c r="L5" i="8" s="1"/>
  <c r="I64" i="9" s="1"/>
  <c r="R4" i="8"/>
  <c r="O4" i="8"/>
  <c r="I133" i="9" s="1"/>
  <c r="D4" i="8"/>
  <c r="R3" i="8"/>
  <c r="O3" i="8"/>
  <c r="D3" i="8"/>
  <c r="M15" i="8" s="1" a="1"/>
  <c r="M15" i="8" s="1"/>
  <c r="R2" i="8"/>
  <c r="D2" i="8"/>
  <c r="M2" i="8" s="1" a="1"/>
  <c r="M2" i="8" s="1"/>
  <c r="N2" i="8" s="1"/>
  <c r="I102" i="9" s="1"/>
  <c r="R26" i="7"/>
  <c r="S26" i="7" s="1"/>
  <c r="H249" i="9" s="1"/>
  <c r="Q26" i="7"/>
  <c r="O26" i="7"/>
  <c r="H155" i="9" s="1"/>
  <c r="M26" i="7" a="1"/>
  <c r="M26" i="7" s="1"/>
  <c r="N26" i="7" s="1"/>
  <c r="H126" i="9" s="1"/>
  <c r="L26" i="7"/>
  <c r="H85" i="9" s="1"/>
  <c r="J26" i="7"/>
  <c r="H26" i="7"/>
  <c r="R25" i="7"/>
  <c r="S25" i="7" s="1"/>
  <c r="H248" i="9" s="1"/>
  <c r="Q25" i="7"/>
  <c r="O25" i="7"/>
  <c r="H154" i="9" s="1"/>
  <c r="M25" i="7" a="1"/>
  <c r="M25" i="7" s="1"/>
  <c r="N25" i="7" s="1"/>
  <c r="H125" i="9" s="1"/>
  <c r="L25" i="7"/>
  <c r="H84" i="9" s="1"/>
  <c r="J25" i="7"/>
  <c r="H25" i="7"/>
  <c r="S24" i="7"/>
  <c r="H247" i="9" s="1"/>
  <c r="R24" i="7"/>
  <c r="Q24" i="7"/>
  <c r="O24" i="7"/>
  <c r="H153" i="9" s="1"/>
  <c r="M24" i="7" a="1"/>
  <c r="M24" i="7" s="1"/>
  <c r="N24" i="7" s="1"/>
  <c r="H124" i="9" s="1"/>
  <c r="L24" i="7"/>
  <c r="H83" i="9" s="1"/>
  <c r="J24" i="7"/>
  <c r="H24" i="7"/>
  <c r="R23" i="7"/>
  <c r="S23" i="7" s="1"/>
  <c r="H246" i="9" s="1"/>
  <c r="Q23" i="7"/>
  <c r="O23" i="7"/>
  <c r="H152" i="9" s="1"/>
  <c r="M23" i="7" a="1"/>
  <c r="M23" i="7" s="1"/>
  <c r="N23" i="7" s="1"/>
  <c r="H123" i="9" s="1"/>
  <c r="L23" i="7"/>
  <c r="H82" i="9" s="1"/>
  <c r="J23" i="7"/>
  <c r="H23" i="7"/>
  <c r="R22" i="7"/>
  <c r="S22" i="7" s="1"/>
  <c r="H245" i="9" s="1"/>
  <c r="Q22" i="7"/>
  <c r="O22" i="7"/>
  <c r="H151" i="9" s="1"/>
  <c r="M22" i="7" a="1"/>
  <c r="M22" i="7" s="1"/>
  <c r="N22" i="7" s="1"/>
  <c r="H122" i="9" s="1"/>
  <c r="L22" i="7"/>
  <c r="J22" i="7"/>
  <c r="H22" i="7"/>
  <c r="S21" i="7"/>
  <c r="H244" i="9" s="1"/>
  <c r="R21" i="7"/>
  <c r="Q21" i="7"/>
  <c r="O21" i="7"/>
  <c r="H150" i="9" s="1"/>
  <c r="M21" i="7" a="1"/>
  <c r="M21" i="7" s="1"/>
  <c r="N21" i="7" s="1"/>
  <c r="H121" i="9" s="1"/>
  <c r="L21" i="7"/>
  <c r="H80" i="9" s="1"/>
  <c r="J21" i="7"/>
  <c r="I21" i="7"/>
  <c r="H22" i="9" s="1"/>
  <c r="H21" i="7"/>
  <c r="P21" i="7" s="1"/>
  <c r="R20" i="7"/>
  <c r="S20" i="7" s="1"/>
  <c r="H243" i="9" s="1"/>
  <c r="Q20" i="7"/>
  <c r="O20" i="7"/>
  <c r="H149" i="9" s="1"/>
  <c r="M20" i="7" a="1"/>
  <c r="M20" i="7" s="1"/>
  <c r="N20" i="7" s="1"/>
  <c r="H120" i="9" s="1"/>
  <c r="L20" i="7"/>
  <c r="H79" i="9" s="1"/>
  <c r="J20" i="7"/>
  <c r="H20" i="7"/>
  <c r="S19" i="7"/>
  <c r="H242" i="9" s="1"/>
  <c r="R19" i="7"/>
  <c r="Q19" i="7"/>
  <c r="O19" i="7"/>
  <c r="H148" i="9" s="1"/>
  <c r="M19" i="7" a="1"/>
  <c r="M19" i="7" s="1"/>
  <c r="N19" i="7" s="1"/>
  <c r="H119" i="9" s="1"/>
  <c r="L19" i="7"/>
  <c r="H78" i="9" s="1"/>
  <c r="J19" i="7"/>
  <c r="H19" i="7"/>
  <c r="S18" i="7"/>
  <c r="H241" i="9" s="1"/>
  <c r="R18" i="7"/>
  <c r="Q18" i="7"/>
  <c r="O18" i="7"/>
  <c r="H147" i="9" s="1"/>
  <c r="M18" i="7" a="1"/>
  <c r="M18" i="7" s="1"/>
  <c r="N18" i="7" s="1"/>
  <c r="H118" i="9" s="1"/>
  <c r="L18" i="7"/>
  <c r="H77" i="9" s="1"/>
  <c r="J18" i="7"/>
  <c r="H18" i="7"/>
  <c r="S17" i="7"/>
  <c r="H240" i="9" s="1"/>
  <c r="R17" i="7"/>
  <c r="Q17" i="7"/>
  <c r="O17" i="7"/>
  <c r="H146" i="9" s="1"/>
  <c r="M17" i="7" a="1"/>
  <c r="M17" i="7" s="1"/>
  <c r="N17" i="7" s="1"/>
  <c r="H117" i="9" s="1"/>
  <c r="L17" i="7"/>
  <c r="H76" i="9" s="1"/>
  <c r="J17" i="7"/>
  <c r="H17" i="7"/>
  <c r="P17" i="7" s="1"/>
  <c r="S16" i="7"/>
  <c r="H239" i="9" s="1"/>
  <c r="R16" i="7"/>
  <c r="Q16" i="7"/>
  <c r="O16" i="7"/>
  <c r="H145" i="9" s="1"/>
  <c r="N16" i="7"/>
  <c r="H116" i="9" s="1"/>
  <c r="M16" i="7" a="1"/>
  <c r="M16" i="7" s="1"/>
  <c r="L16" i="7"/>
  <c r="H75" i="9" s="1"/>
  <c r="J16" i="7"/>
  <c r="H16" i="7"/>
  <c r="P16" i="7" s="1"/>
  <c r="S15" i="7"/>
  <c r="H238" i="9" s="1"/>
  <c r="R15" i="7"/>
  <c r="Q15" i="7"/>
  <c r="O15" i="7"/>
  <c r="H144" i="9" s="1"/>
  <c r="M15" i="7" a="1"/>
  <c r="M15" i="7" s="1"/>
  <c r="N15" i="7" s="1"/>
  <c r="H115" i="9" s="1"/>
  <c r="L15" i="7"/>
  <c r="H74" i="9" s="1"/>
  <c r="J15" i="7"/>
  <c r="H15" i="7"/>
  <c r="R14" i="7"/>
  <c r="S14" i="7" s="1"/>
  <c r="H237" i="9" s="1"/>
  <c r="Q14" i="7"/>
  <c r="O14" i="7"/>
  <c r="H143" i="9" s="1"/>
  <c r="M14" i="7" a="1"/>
  <c r="M14" i="7" s="1"/>
  <c r="N14" i="7" s="1"/>
  <c r="H114" i="9" s="1"/>
  <c r="L14" i="7"/>
  <c r="J14" i="7"/>
  <c r="H14" i="7"/>
  <c r="R13" i="7"/>
  <c r="S13" i="7" s="1"/>
  <c r="H236" i="9" s="1"/>
  <c r="Q13" i="7"/>
  <c r="O13" i="7"/>
  <c r="H142" i="9" s="1"/>
  <c r="M13" i="7" a="1"/>
  <c r="M13" i="7" s="1"/>
  <c r="N13" i="7" s="1"/>
  <c r="H113" i="9" s="1"/>
  <c r="L13" i="7"/>
  <c r="H72" i="9" s="1"/>
  <c r="J13" i="7"/>
  <c r="K13" i="7" s="1"/>
  <c r="H43" i="9" s="1"/>
  <c r="H13" i="7"/>
  <c r="I13" i="7" s="1"/>
  <c r="H14" i="9" s="1"/>
  <c r="R12" i="7"/>
  <c r="S12" i="7" s="1"/>
  <c r="H235" i="9" s="1"/>
  <c r="Q12" i="7"/>
  <c r="O12" i="7"/>
  <c r="H141" i="9" s="1"/>
  <c r="M12" i="7" a="1"/>
  <c r="M12" i="7" s="1"/>
  <c r="N12" i="7" s="1"/>
  <c r="H112" i="9" s="1"/>
  <c r="L12" i="7"/>
  <c r="J12" i="7"/>
  <c r="H12" i="7"/>
  <c r="P12" i="7" s="1"/>
  <c r="S11" i="7"/>
  <c r="H234" i="9" s="1"/>
  <c r="R11" i="7"/>
  <c r="Q11" i="7"/>
  <c r="O11" i="7"/>
  <c r="H140" i="9" s="1"/>
  <c r="M11" i="7" a="1"/>
  <c r="M11" i="7"/>
  <c r="N11" i="7" s="1"/>
  <c r="H111" i="9" s="1"/>
  <c r="L11" i="7"/>
  <c r="H70" i="9" s="1"/>
  <c r="J11" i="7"/>
  <c r="H11" i="7"/>
  <c r="R10" i="7"/>
  <c r="S10" i="7" s="1"/>
  <c r="H233" i="9" s="1"/>
  <c r="Q10" i="7"/>
  <c r="O10" i="7"/>
  <c r="H139" i="9" s="1"/>
  <c r="M10" i="7" a="1"/>
  <c r="M10" i="7" s="1"/>
  <c r="N10" i="7" s="1"/>
  <c r="H110" i="9" s="1"/>
  <c r="L10" i="7"/>
  <c r="H69" i="9" s="1"/>
  <c r="J10" i="7"/>
  <c r="H10" i="7"/>
  <c r="R9" i="7"/>
  <c r="S9" i="7" s="1"/>
  <c r="H232" i="9" s="1"/>
  <c r="Q9" i="7"/>
  <c r="O9" i="7"/>
  <c r="H138" i="9" s="1"/>
  <c r="M9" i="7" a="1"/>
  <c r="M9" i="7" s="1"/>
  <c r="N9" i="7" s="1"/>
  <c r="H109" i="9" s="1"/>
  <c r="L9" i="7"/>
  <c r="H68" i="9" s="1"/>
  <c r="J9" i="7"/>
  <c r="I9" i="7"/>
  <c r="H10" i="9" s="1"/>
  <c r="H9" i="7"/>
  <c r="R8" i="7"/>
  <c r="S8" i="7" s="1"/>
  <c r="H231" i="9" s="1"/>
  <c r="Q8" i="7"/>
  <c r="O8" i="7"/>
  <c r="H137" i="9" s="1"/>
  <c r="M8" i="7" a="1"/>
  <c r="M8" i="7" s="1"/>
  <c r="N8" i="7" s="1"/>
  <c r="H108" i="9" s="1"/>
  <c r="L8" i="7"/>
  <c r="H67" i="9" s="1"/>
  <c r="J8" i="7"/>
  <c r="K8" i="7" s="1"/>
  <c r="H38" i="9" s="1"/>
  <c r="H8" i="7"/>
  <c r="P9" i="7" s="1"/>
  <c r="S7" i="7"/>
  <c r="H230" i="9" s="1"/>
  <c r="R7" i="7"/>
  <c r="Q7" i="7"/>
  <c r="O7" i="7"/>
  <c r="H136" i="9" s="1"/>
  <c r="M7" i="7" a="1"/>
  <c r="M7" i="7" s="1"/>
  <c r="N7" i="7" s="1"/>
  <c r="H107" i="9" s="1"/>
  <c r="L7" i="7"/>
  <c r="H66" i="9" s="1"/>
  <c r="J7" i="7"/>
  <c r="H7" i="7"/>
  <c r="R6" i="7"/>
  <c r="S6" i="7" s="1"/>
  <c r="H229" i="9" s="1"/>
  <c r="Q6" i="7"/>
  <c r="O6" i="7"/>
  <c r="H135" i="9" s="1"/>
  <c r="M6" i="7" a="1"/>
  <c r="M6" i="7"/>
  <c r="N6" i="7" s="1"/>
  <c r="H106" i="9" s="1"/>
  <c r="L6" i="7"/>
  <c r="H65" i="9" s="1"/>
  <c r="J6" i="7"/>
  <c r="K6" i="7" s="1"/>
  <c r="H36" i="9" s="1"/>
  <c r="H6" i="7"/>
  <c r="R5" i="7"/>
  <c r="S5" i="7" s="1"/>
  <c r="H228" i="9" s="1"/>
  <c r="Q5" i="7"/>
  <c r="P5" i="7"/>
  <c r="O5" i="7"/>
  <c r="H134" i="9" s="1"/>
  <c r="M5" i="7" a="1"/>
  <c r="M5" i="7" s="1"/>
  <c r="N5" i="7" s="1"/>
  <c r="H105" i="9" s="1"/>
  <c r="L5" i="7"/>
  <c r="H64" i="9" s="1"/>
  <c r="J5" i="7"/>
  <c r="H5" i="7"/>
  <c r="I5" i="7" s="1"/>
  <c r="H6" i="9" s="1"/>
  <c r="S4" i="7"/>
  <c r="H227" i="9" s="1"/>
  <c r="R4" i="7"/>
  <c r="Q4" i="7"/>
  <c r="O4" i="7"/>
  <c r="H133" i="9" s="1"/>
  <c r="M4" i="7" a="1"/>
  <c r="M4" i="7" s="1"/>
  <c r="N4" i="7" s="1"/>
  <c r="H104" i="9" s="1"/>
  <c r="L4" i="7"/>
  <c r="H63" i="9" s="1"/>
  <c r="J4" i="7"/>
  <c r="H4" i="7"/>
  <c r="R3" i="7"/>
  <c r="S3" i="7" s="1"/>
  <c r="H226" i="9" s="1"/>
  <c r="Q3" i="7"/>
  <c r="O3" i="7"/>
  <c r="M3" i="7" a="1"/>
  <c r="M3" i="7" s="1"/>
  <c r="N3" i="7" s="1"/>
  <c r="H103" i="9" s="1"/>
  <c r="L3" i="7"/>
  <c r="H62" i="9" s="1"/>
  <c r="J3" i="7"/>
  <c r="K3" i="7" s="1"/>
  <c r="H33" i="9" s="1"/>
  <c r="H3" i="7"/>
  <c r="R2" i="7"/>
  <c r="S2" i="7" s="1"/>
  <c r="H225" i="9" s="1"/>
  <c r="M2" i="7" a="1"/>
  <c r="M2" i="7" s="1"/>
  <c r="N2" i="7" s="1"/>
  <c r="H102" i="9" s="1"/>
  <c r="J2" i="7"/>
  <c r="K2" i="7" s="1"/>
  <c r="H32" i="9" s="1"/>
  <c r="I2" i="7"/>
  <c r="H3" i="9" s="1"/>
  <c r="H2" i="7"/>
  <c r="S26" i="6"/>
  <c r="T26" i="6" s="1"/>
  <c r="G249" i="9" s="1"/>
  <c r="R26" i="6"/>
  <c r="N26" i="6" a="1"/>
  <c r="N26" i="6" s="1"/>
  <c r="O26" i="6" s="1"/>
  <c r="G126" i="9" s="1"/>
  <c r="M26" i="6"/>
  <c r="G85" i="9" s="1"/>
  <c r="K26" i="6"/>
  <c r="I26" i="6"/>
  <c r="S25" i="6"/>
  <c r="T25" i="6" s="1"/>
  <c r="G248" i="9" s="1"/>
  <c r="R25" i="6"/>
  <c r="N25" i="6" a="1"/>
  <c r="N25" i="6" s="1"/>
  <c r="O25" i="6" s="1"/>
  <c r="G125" i="9" s="1"/>
  <c r="M25" i="6"/>
  <c r="G84" i="9" s="1"/>
  <c r="K25" i="6"/>
  <c r="I25" i="6"/>
  <c r="S24" i="6"/>
  <c r="T24" i="6" s="1"/>
  <c r="G247" i="9" s="1"/>
  <c r="R24" i="6"/>
  <c r="N24" i="6" a="1"/>
  <c r="N24" i="6" s="1"/>
  <c r="O24" i="6" s="1"/>
  <c r="G124" i="9" s="1"/>
  <c r="M24" i="6"/>
  <c r="G83" i="9" s="1"/>
  <c r="K24" i="6"/>
  <c r="I24" i="6"/>
  <c r="Q25" i="6" s="1"/>
  <c r="S23" i="6"/>
  <c r="T23" i="6" s="1"/>
  <c r="G246" i="9" s="1"/>
  <c r="R23" i="6"/>
  <c r="N23" i="6" a="1"/>
  <c r="N23" i="6" s="1"/>
  <c r="O23" i="6" s="1"/>
  <c r="G123" i="9" s="1"/>
  <c r="M23" i="6"/>
  <c r="G82" i="9" s="1"/>
  <c r="K23" i="6"/>
  <c r="I23" i="6"/>
  <c r="S22" i="6"/>
  <c r="T22" i="6" s="1"/>
  <c r="G245" i="9" s="1"/>
  <c r="R22" i="6"/>
  <c r="N22" i="6" a="1"/>
  <c r="N22" i="6" s="1"/>
  <c r="O22" i="6" s="1"/>
  <c r="G122" i="9" s="1"/>
  <c r="M22" i="6"/>
  <c r="K22" i="6"/>
  <c r="I22" i="6"/>
  <c r="S21" i="6"/>
  <c r="T21" i="6" s="1"/>
  <c r="G244" i="9" s="1"/>
  <c r="R21" i="6"/>
  <c r="N21" i="6" a="1"/>
  <c r="N21" i="6" s="1"/>
  <c r="O21" i="6" s="1"/>
  <c r="G121" i="9" s="1"/>
  <c r="M21" i="6"/>
  <c r="G80" i="9" s="1"/>
  <c r="K21" i="6"/>
  <c r="I21" i="6"/>
  <c r="S20" i="6"/>
  <c r="T20" i="6" s="1"/>
  <c r="G243" i="9" s="1"/>
  <c r="R20" i="6"/>
  <c r="N20" i="6" a="1"/>
  <c r="N20" i="6"/>
  <c r="O20" i="6" s="1"/>
  <c r="G120" i="9" s="1"/>
  <c r="M20" i="6"/>
  <c r="G79" i="9" s="1"/>
  <c r="K20" i="6"/>
  <c r="I20" i="6"/>
  <c r="S19" i="6"/>
  <c r="T19" i="6" s="1"/>
  <c r="G242" i="9" s="1"/>
  <c r="R19" i="6"/>
  <c r="N19" i="6" a="1"/>
  <c r="N19" i="6" s="1"/>
  <c r="O19" i="6" s="1"/>
  <c r="G119" i="9" s="1"/>
  <c r="M19" i="6"/>
  <c r="G78" i="9" s="1"/>
  <c r="K19" i="6"/>
  <c r="L19" i="6" s="1"/>
  <c r="G49" i="9" s="1"/>
  <c r="I19" i="6"/>
  <c r="Q19" i="6" s="1"/>
  <c r="S18" i="6"/>
  <c r="T18" i="6" s="1"/>
  <c r="G241" i="9" s="1"/>
  <c r="R18" i="6"/>
  <c r="N18" i="6" a="1"/>
  <c r="N18" i="6" s="1"/>
  <c r="O18" i="6" s="1"/>
  <c r="G118" i="9" s="1"/>
  <c r="M18" i="6"/>
  <c r="G77" i="9" s="1"/>
  <c r="K18" i="6"/>
  <c r="I18" i="6"/>
  <c r="Q18" i="6" s="1"/>
  <c r="E18" i="6"/>
  <c r="P18" i="6" s="1"/>
  <c r="G147" i="9" s="1"/>
  <c r="S17" i="6"/>
  <c r="T17" i="6" s="1"/>
  <c r="G240" i="9" s="1"/>
  <c r="R17" i="6"/>
  <c r="N17" i="6" a="1"/>
  <c r="N17" i="6" s="1"/>
  <c r="O17" i="6" s="1"/>
  <c r="G117" i="9" s="1"/>
  <c r="M17" i="6"/>
  <c r="G76" i="9" s="1"/>
  <c r="K17" i="6"/>
  <c r="I17" i="6"/>
  <c r="E17" i="6"/>
  <c r="E16" i="6" s="1"/>
  <c r="E15" i="6" s="1"/>
  <c r="T16" i="6"/>
  <c r="G239" i="9" s="1"/>
  <c r="S16" i="6"/>
  <c r="R16" i="6"/>
  <c r="P16" i="6"/>
  <c r="G145" i="9" s="1"/>
  <c r="N16" i="6" a="1"/>
  <c r="N16" i="6" s="1"/>
  <c r="O16" i="6" s="1"/>
  <c r="G116" i="9" s="1"/>
  <c r="M16" i="6"/>
  <c r="G75" i="9" s="1"/>
  <c r="K16" i="6"/>
  <c r="I16" i="6"/>
  <c r="S15" i="6"/>
  <c r="T15" i="6" s="1"/>
  <c r="G238" i="9" s="1"/>
  <c r="R15" i="6"/>
  <c r="N15" i="6" a="1"/>
  <c r="N15" i="6" s="1"/>
  <c r="O15" i="6" s="1"/>
  <c r="G115" i="9" s="1"/>
  <c r="M15" i="6"/>
  <c r="G74" i="9" s="1"/>
  <c r="K15" i="6"/>
  <c r="I15" i="6"/>
  <c r="S14" i="6"/>
  <c r="T14" i="6" s="1"/>
  <c r="G237" i="9" s="1"/>
  <c r="R14" i="6"/>
  <c r="N14" i="6" a="1"/>
  <c r="N14" i="6" s="1"/>
  <c r="O14" i="6" s="1"/>
  <c r="G114" i="9" s="1"/>
  <c r="M14" i="6"/>
  <c r="G73" i="9" s="1"/>
  <c r="K14" i="6"/>
  <c r="I14" i="6"/>
  <c r="E14" i="6"/>
  <c r="E13" i="6" s="1"/>
  <c r="S13" i="6"/>
  <c r="T13" i="6" s="1"/>
  <c r="G236" i="9" s="1"/>
  <c r="R13" i="6"/>
  <c r="N13" i="6" a="1"/>
  <c r="N13" i="6" s="1"/>
  <c r="O13" i="6" s="1"/>
  <c r="G113" i="9" s="1"/>
  <c r="M13" i="6"/>
  <c r="G72" i="9" s="1"/>
  <c r="K13" i="6"/>
  <c r="I13" i="6"/>
  <c r="S12" i="6"/>
  <c r="T12" i="6" s="1"/>
  <c r="G235" i="9" s="1"/>
  <c r="R12" i="6"/>
  <c r="N12" i="6" a="1"/>
  <c r="N12" i="6" s="1"/>
  <c r="O12" i="6" s="1"/>
  <c r="G112" i="9" s="1"/>
  <c r="M12" i="6"/>
  <c r="K12" i="6"/>
  <c r="I12" i="6"/>
  <c r="T11" i="6"/>
  <c r="G234" i="9" s="1"/>
  <c r="S11" i="6"/>
  <c r="R11" i="6"/>
  <c r="N11" i="6" a="1"/>
  <c r="N11" i="6" s="1"/>
  <c r="O11" i="6" s="1"/>
  <c r="G111" i="9" s="1"/>
  <c r="M11" i="6"/>
  <c r="G70" i="9" s="1"/>
  <c r="K11" i="6"/>
  <c r="L11" i="6" s="1"/>
  <c r="G41" i="9" s="1"/>
  <c r="I11" i="6"/>
  <c r="S10" i="6"/>
  <c r="T10" i="6" s="1"/>
  <c r="G233" i="9" s="1"/>
  <c r="R10" i="6"/>
  <c r="N10" i="6" a="1"/>
  <c r="N10" i="6" s="1"/>
  <c r="O10" i="6" s="1"/>
  <c r="G110" i="9" s="1"/>
  <c r="M10" i="6"/>
  <c r="K10" i="6"/>
  <c r="I10" i="6"/>
  <c r="Q10" i="6" s="1"/>
  <c r="S9" i="6"/>
  <c r="T9" i="6" s="1"/>
  <c r="G232" i="9" s="1"/>
  <c r="R9" i="6"/>
  <c r="N9" i="6" a="1"/>
  <c r="N9" i="6" s="1"/>
  <c r="O9" i="6" s="1"/>
  <c r="G109" i="9" s="1"/>
  <c r="M9" i="6"/>
  <c r="G68" i="9" s="1"/>
  <c r="K9" i="6"/>
  <c r="L9" i="6" s="1"/>
  <c r="G39" i="9" s="1"/>
  <c r="I9" i="6"/>
  <c r="J9" i="6" s="1"/>
  <c r="G10" i="9" s="1"/>
  <c r="T8" i="6"/>
  <c r="G231" i="9" s="1"/>
  <c r="S8" i="6"/>
  <c r="R8" i="6"/>
  <c r="N8" i="6" a="1"/>
  <c r="N8" i="6" s="1"/>
  <c r="O8" i="6" s="1"/>
  <c r="G108" i="9" s="1"/>
  <c r="M8" i="6"/>
  <c r="G67" i="9" s="1"/>
  <c r="K8" i="6"/>
  <c r="I8" i="6"/>
  <c r="S7" i="6"/>
  <c r="T7" i="6" s="1"/>
  <c r="G230" i="9" s="1"/>
  <c r="R7" i="6"/>
  <c r="N7" i="6" a="1"/>
  <c r="N7" i="6" s="1"/>
  <c r="O7" i="6" s="1"/>
  <c r="G107" i="9" s="1"/>
  <c r="M7" i="6"/>
  <c r="G66" i="9" s="1"/>
  <c r="K7" i="6"/>
  <c r="I7" i="6"/>
  <c r="S6" i="6"/>
  <c r="T6" i="6" s="1"/>
  <c r="G229" i="9" s="1"/>
  <c r="R6" i="6"/>
  <c r="N6" i="6" a="1"/>
  <c r="N6" i="6" s="1"/>
  <c r="O6" i="6" s="1"/>
  <c r="G106" i="9" s="1"/>
  <c r="M6" i="6"/>
  <c r="G65" i="9" s="1"/>
  <c r="K6" i="6"/>
  <c r="I6" i="6"/>
  <c r="Q6" i="6" s="1"/>
  <c r="S5" i="6"/>
  <c r="T5" i="6" s="1"/>
  <c r="G228" i="9" s="1"/>
  <c r="R5" i="6"/>
  <c r="N5" i="6" a="1"/>
  <c r="N5" i="6"/>
  <c r="O5" i="6" s="1"/>
  <c r="G105" i="9" s="1"/>
  <c r="M5" i="6"/>
  <c r="G64" i="9" s="1"/>
  <c r="K5" i="6"/>
  <c r="I5" i="6"/>
  <c r="T4" i="6"/>
  <c r="G227" i="9" s="1"/>
  <c r="S4" i="6"/>
  <c r="R4" i="6"/>
  <c r="N4" i="6" a="1"/>
  <c r="N4" i="6"/>
  <c r="O4" i="6" s="1"/>
  <c r="G104" i="9" s="1"/>
  <c r="M4" i="6"/>
  <c r="G63" i="9" s="1"/>
  <c r="K4" i="6"/>
  <c r="I4" i="6"/>
  <c r="Q4" i="6" s="1"/>
  <c r="S3" i="6"/>
  <c r="T3" i="6" s="1"/>
  <c r="G226" i="9" s="1"/>
  <c r="R3" i="6"/>
  <c r="N3" i="6" a="1"/>
  <c r="N3" i="6" s="1"/>
  <c r="O3" i="6" s="1"/>
  <c r="G103" i="9" s="1"/>
  <c r="M3" i="6"/>
  <c r="K3" i="6"/>
  <c r="L3" i="6" s="1"/>
  <c r="G33" i="9" s="1"/>
  <c r="I3" i="6"/>
  <c r="S2" i="6"/>
  <c r="T2" i="6" s="1"/>
  <c r="G225" i="9" s="1"/>
  <c r="N2" i="6" a="1"/>
  <c r="N2" i="6" s="1"/>
  <c r="O2" i="6" s="1"/>
  <c r="G102" i="9" s="1"/>
  <c r="K2" i="6"/>
  <c r="L5" i="6" s="1"/>
  <c r="G35" i="9" s="1"/>
  <c r="I2" i="6"/>
  <c r="Q3" i="6" s="1"/>
  <c r="R26" i="5"/>
  <c r="S26" i="5" s="1"/>
  <c r="F249" i="9" s="1"/>
  <c r="Q26" i="5"/>
  <c r="O26" i="5"/>
  <c r="F155" i="9" s="1"/>
  <c r="M26" i="5" a="1"/>
  <c r="M26" i="5" s="1"/>
  <c r="N26" i="5" s="1"/>
  <c r="F126" i="9" s="1"/>
  <c r="L26" i="5"/>
  <c r="F85" i="9" s="1"/>
  <c r="J26" i="5"/>
  <c r="H26" i="5"/>
  <c r="P26" i="5" s="1"/>
  <c r="R25" i="5"/>
  <c r="S25" i="5" s="1"/>
  <c r="F248" i="9" s="1"/>
  <c r="Q25" i="5"/>
  <c r="P25" i="5"/>
  <c r="O25" i="5"/>
  <c r="F154" i="9" s="1"/>
  <c r="M25" i="5" a="1"/>
  <c r="M25" i="5" s="1"/>
  <c r="N25" i="5" s="1"/>
  <c r="F125" i="9" s="1"/>
  <c r="L25" i="5"/>
  <c r="F84" i="9" s="1"/>
  <c r="J25" i="5"/>
  <c r="H25" i="5"/>
  <c r="R24" i="5"/>
  <c r="S24" i="5" s="1"/>
  <c r="F247" i="9" s="1"/>
  <c r="Q24" i="5"/>
  <c r="P24" i="5"/>
  <c r="O24" i="5"/>
  <c r="F153" i="9" s="1"/>
  <c r="M24" i="5" a="1"/>
  <c r="M24" i="5" s="1"/>
  <c r="N24" i="5" s="1"/>
  <c r="F124" i="9" s="1"/>
  <c r="L24" i="5"/>
  <c r="F83" i="9" s="1"/>
  <c r="J24" i="5"/>
  <c r="H24" i="5"/>
  <c r="S23" i="5"/>
  <c r="F246" i="9" s="1"/>
  <c r="R23" i="5"/>
  <c r="Q23" i="5"/>
  <c r="O23" i="5"/>
  <c r="F152" i="9" s="1"/>
  <c r="M23" i="5" a="1"/>
  <c r="M23" i="5" s="1"/>
  <c r="N23" i="5" s="1"/>
  <c r="F123" i="9" s="1"/>
  <c r="L23" i="5"/>
  <c r="F82" i="9" s="1"/>
  <c r="J23" i="5"/>
  <c r="H23" i="5"/>
  <c r="R22" i="5"/>
  <c r="S22" i="5" s="1"/>
  <c r="F245" i="9" s="1"/>
  <c r="Q22" i="5"/>
  <c r="O22" i="5"/>
  <c r="F151" i="9" s="1"/>
  <c r="M22" i="5" a="1"/>
  <c r="M22" i="5" s="1"/>
  <c r="N22" i="5" s="1"/>
  <c r="F122" i="9" s="1"/>
  <c r="L22" i="5"/>
  <c r="J22" i="5"/>
  <c r="H22" i="5"/>
  <c r="R21" i="5"/>
  <c r="S21" i="5" s="1"/>
  <c r="F244" i="9" s="1"/>
  <c r="Q21" i="5"/>
  <c r="O21" i="5"/>
  <c r="F150" i="9" s="1"/>
  <c r="M21" i="5" a="1"/>
  <c r="M21" i="5" s="1"/>
  <c r="N21" i="5" s="1"/>
  <c r="F121" i="9" s="1"/>
  <c r="L21" i="5"/>
  <c r="F80" i="9" s="1"/>
  <c r="J21" i="5"/>
  <c r="H21" i="5"/>
  <c r="P21" i="5" s="1"/>
  <c r="R20" i="5"/>
  <c r="S20" i="5" s="1"/>
  <c r="F243" i="9" s="1"/>
  <c r="Q20" i="5"/>
  <c r="O20" i="5"/>
  <c r="F149" i="9" s="1"/>
  <c r="M20" i="5" a="1"/>
  <c r="M20" i="5" s="1"/>
  <c r="N20" i="5" s="1"/>
  <c r="F120" i="9" s="1"/>
  <c r="L20" i="5"/>
  <c r="F79" i="9" s="1"/>
  <c r="J20" i="5"/>
  <c r="H20" i="5"/>
  <c r="R19" i="5"/>
  <c r="S19" i="5" s="1"/>
  <c r="F242" i="9" s="1"/>
  <c r="Q19" i="5"/>
  <c r="O19" i="5"/>
  <c r="F148" i="9" s="1"/>
  <c r="M19" i="5" a="1"/>
  <c r="M19" i="5" s="1"/>
  <c r="N19" i="5" s="1"/>
  <c r="F119" i="9" s="1"/>
  <c r="L19" i="5"/>
  <c r="F78" i="9" s="1"/>
  <c r="J19" i="5"/>
  <c r="H19" i="5"/>
  <c r="R18" i="5"/>
  <c r="S18" i="5" s="1"/>
  <c r="F241" i="9" s="1"/>
  <c r="Q18" i="5"/>
  <c r="O18" i="5"/>
  <c r="F147" i="9" s="1"/>
  <c r="M18" i="5" a="1"/>
  <c r="M18" i="5" s="1"/>
  <c r="N18" i="5" s="1"/>
  <c r="F118" i="9" s="1"/>
  <c r="L18" i="5"/>
  <c r="F77" i="9" s="1"/>
  <c r="J18" i="5"/>
  <c r="H18" i="5"/>
  <c r="R17" i="5"/>
  <c r="S17" i="5" s="1"/>
  <c r="F240" i="9" s="1"/>
  <c r="Q17" i="5"/>
  <c r="O17" i="5"/>
  <c r="F146" i="9" s="1"/>
  <c r="M17" i="5" a="1"/>
  <c r="M17" i="5" s="1"/>
  <c r="N17" i="5" s="1"/>
  <c r="F117" i="9" s="1"/>
  <c r="L17" i="5"/>
  <c r="F76" i="9" s="1"/>
  <c r="J17" i="5"/>
  <c r="H17" i="5"/>
  <c r="P17" i="5" s="1"/>
  <c r="S16" i="5"/>
  <c r="F239" i="9" s="1"/>
  <c r="R16" i="5"/>
  <c r="Q16" i="5"/>
  <c r="O16" i="5"/>
  <c r="F145" i="9" s="1"/>
  <c r="M16" i="5" a="1"/>
  <c r="M16" i="5" s="1"/>
  <c r="N16" i="5" s="1"/>
  <c r="F116" i="9" s="1"/>
  <c r="L16" i="5"/>
  <c r="F75" i="9" s="1"/>
  <c r="J16" i="5"/>
  <c r="H16" i="5"/>
  <c r="I16" i="5" s="1"/>
  <c r="F17" i="9" s="1"/>
  <c r="R15" i="5"/>
  <c r="S15" i="5" s="1"/>
  <c r="F238" i="9" s="1"/>
  <c r="Q15" i="5"/>
  <c r="O15" i="5"/>
  <c r="F144" i="9" s="1"/>
  <c r="M15" i="5" a="1"/>
  <c r="M15" i="5" s="1"/>
  <c r="N15" i="5" s="1"/>
  <c r="F115" i="9" s="1"/>
  <c r="L15" i="5"/>
  <c r="F74" i="9" s="1"/>
  <c r="J15" i="5"/>
  <c r="H15" i="5"/>
  <c r="S14" i="5"/>
  <c r="F237" i="9" s="1"/>
  <c r="R14" i="5"/>
  <c r="Q14" i="5"/>
  <c r="O14" i="5"/>
  <c r="F143" i="9" s="1"/>
  <c r="M14" i="5" a="1"/>
  <c r="M14" i="5"/>
  <c r="N14" i="5" s="1"/>
  <c r="F114" i="9" s="1"/>
  <c r="L14" i="5"/>
  <c r="F73" i="9" s="1"/>
  <c r="J14" i="5"/>
  <c r="H14" i="5"/>
  <c r="R13" i="5"/>
  <c r="S13" i="5" s="1"/>
  <c r="F236" i="9" s="1"/>
  <c r="Q13" i="5"/>
  <c r="O13" i="5"/>
  <c r="F142" i="9" s="1"/>
  <c r="M13" i="5" a="1"/>
  <c r="M13" i="5" s="1"/>
  <c r="N13" i="5" s="1"/>
  <c r="F113" i="9" s="1"/>
  <c r="L13" i="5"/>
  <c r="F72" i="9" s="1"/>
  <c r="J13" i="5"/>
  <c r="H13" i="5"/>
  <c r="S12" i="5"/>
  <c r="F235" i="9" s="1"/>
  <c r="R12" i="5"/>
  <c r="Q12" i="5"/>
  <c r="O12" i="5"/>
  <c r="F141" i="9" s="1"/>
  <c r="M12" i="5" a="1"/>
  <c r="M12" i="5" s="1"/>
  <c r="N12" i="5" s="1"/>
  <c r="F112" i="9" s="1"/>
  <c r="L12" i="5"/>
  <c r="J12" i="5"/>
  <c r="H12" i="5"/>
  <c r="I12" i="5" s="1"/>
  <c r="F13" i="9" s="1"/>
  <c r="R11" i="5"/>
  <c r="S11" i="5" s="1"/>
  <c r="F234" i="9" s="1"/>
  <c r="Q11" i="5"/>
  <c r="O11" i="5"/>
  <c r="F140" i="9" s="1"/>
  <c r="M11" i="5" a="1"/>
  <c r="M11" i="5" s="1"/>
  <c r="N11" i="5" s="1"/>
  <c r="F111" i="9" s="1"/>
  <c r="L11" i="5"/>
  <c r="F70" i="9" s="1"/>
  <c r="J11" i="5"/>
  <c r="H11" i="5"/>
  <c r="S10" i="5"/>
  <c r="F233" i="9" s="1"/>
  <c r="R10" i="5"/>
  <c r="Q10" i="5"/>
  <c r="O10" i="5"/>
  <c r="F139" i="9" s="1"/>
  <c r="M10" i="5" a="1"/>
  <c r="M10" i="5" s="1"/>
  <c r="N10" i="5" s="1"/>
  <c r="F110" i="9" s="1"/>
  <c r="L10" i="5"/>
  <c r="J10" i="5"/>
  <c r="H10" i="5"/>
  <c r="P10" i="5" s="1"/>
  <c r="R9" i="5"/>
  <c r="S9" i="5" s="1"/>
  <c r="F232" i="9" s="1"/>
  <c r="Q9" i="5"/>
  <c r="O9" i="5"/>
  <c r="F138" i="9" s="1"/>
  <c r="M9" i="5" a="1"/>
  <c r="M9" i="5" s="1"/>
  <c r="N9" i="5" s="1"/>
  <c r="F109" i="9" s="1"/>
  <c r="L9" i="5"/>
  <c r="F68" i="9" s="1"/>
  <c r="J9" i="5"/>
  <c r="H9" i="5"/>
  <c r="R8" i="5"/>
  <c r="S8" i="5" s="1"/>
  <c r="F231" i="9" s="1"/>
  <c r="Q8" i="5"/>
  <c r="O8" i="5"/>
  <c r="F137" i="9" s="1"/>
  <c r="M8" i="5" a="1"/>
  <c r="M8" i="5" s="1"/>
  <c r="N8" i="5" s="1"/>
  <c r="F108" i="9" s="1"/>
  <c r="L8" i="5"/>
  <c r="F67" i="9" s="1"/>
  <c r="J8" i="5"/>
  <c r="H8" i="5"/>
  <c r="I8" i="5" s="1"/>
  <c r="F9" i="9" s="1"/>
  <c r="S7" i="5"/>
  <c r="F230" i="9" s="1"/>
  <c r="R7" i="5"/>
  <c r="Q7" i="5"/>
  <c r="O7" i="5"/>
  <c r="F136" i="9" s="1"/>
  <c r="M7" i="5" a="1"/>
  <c r="M7" i="5" s="1"/>
  <c r="N7" i="5" s="1"/>
  <c r="F107" i="9" s="1"/>
  <c r="L7" i="5"/>
  <c r="F66" i="9" s="1"/>
  <c r="J7" i="5"/>
  <c r="H7" i="5"/>
  <c r="R6" i="5"/>
  <c r="S6" i="5" s="1"/>
  <c r="F229" i="9" s="1"/>
  <c r="Q6" i="5"/>
  <c r="O6" i="5"/>
  <c r="F135" i="9" s="1"/>
  <c r="M6" i="5" a="1"/>
  <c r="M6" i="5"/>
  <c r="N6" i="5" s="1"/>
  <c r="F106" i="9" s="1"/>
  <c r="L6" i="5"/>
  <c r="F65" i="9" s="1"/>
  <c r="J6" i="5"/>
  <c r="H6" i="5"/>
  <c r="R5" i="5"/>
  <c r="S5" i="5" s="1"/>
  <c r="F228" i="9" s="1"/>
  <c r="Q5" i="5"/>
  <c r="O5" i="5"/>
  <c r="F134" i="9" s="1"/>
  <c r="M5" i="5" a="1"/>
  <c r="M5" i="5" s="1"/>
  <c r="N5" i="5" s="1"/>
  <c r="F105" i="9" s="1"/>
  <c r="L5" i="5"/>
  <c r="F64" i="9" s="1"/>
  <c r="J5" i="5"/>
  <c r="H5" i="5"/>
  <c r="R4" i="5"/>
  <c r="S4" i="5" s="1"/>
  <c r="F227" i="9" s="1"/>
  <c r="Q4" i="5"/>
  <c r="O4" i="5"/>
  <c r="F133" i="9" s="1"/>
  <c r="M4" i="5" a="1"/>
  <c r="M4" i="5" s="1"/>
  <c r="N4" i="5" s="1"/>
  <c r="F104" i="9" s="1"/>
  <c r="L4" i="5"/>
  <c r="F63" i="9" s="1"/>
  <c r="J4" i="5"/>
  <c r="I4" i="5"/>
  <c r="F5" i="9" s="1"/>
  <c r="H4" i="5"/>
  <c r="R3" i="5"/>
  <c r="S3" i="5" s="1"/>
  <c r="F226" i="9" s="1"/>
  <c r="Q3" i="5"/>
  <c r="O3" i="5"/>
  <c r="M3" i="5" a="1"/>
  <c r="M3" i="5" s="1"/>
  <c r="N3" i="5" s="1"/>
  <c r="F103" i="9" s="1"/>
  <c r="L3" i="5"/>
  <c r="J3" i="5"/>
  <c r="H3" i="5"/>
  <c r="R2" i="5"/>
  <c r="S2" i="5" s="1"/>
  <c r="F225" i="9" s="1"/>
  <c r="M2" i="5" a="1"/>
  <c r="M2" i="5"/>
  <c r="N2" i="5" s="1"/>
  <c r="F102" i="9" s="1"/>
  <c r="J2" i="5"/>
  <c r="K25" i="5" s="1"/>
  <c r="F55" i="9" s="1"/>
  <c r="H2" i="5"/>
  <c r="I25" i="5" s="1"/>
  <c r="F26" i="9" s="1"/>
  <c r="R26" i="4"/>
  <c r="S26" i="4" s="1"/>
  <c r="E249" i="9" s="1"/>
  <c r="Q26" i="4"/>
  <c r="O26" i="4"/>
  <c r="E155" i="9" s="1"/>
  <c r="M26" i="4" a="1"/>
  <c r="M26" i="4" s="1"/>
  <c r="N26" i="4" s="1"/>
  <c r="E126" i="9" s="1"/>
  <c r="L26" i="4"/>
  <c r="E85" i="9" s="1"/>
  <c r="J26" i="4"/>
  <c r="H26" i="4"/>
  <c r="R25" i="4"/>
  <c r="S25" i="4" s="1"/>
  <c r="E248" i="9" s="1"/>
  <c r="Q25" i="4"/>
  <c r="O25" i="4"/>
  <c r="E154" i="9" s="1"/>
  <c r="M25" i="4" a="1"/>
  <c r="M25" i="4" s="1"/>
  <c r="N25" i="4" s="1"/>
  <c r="E125" i="9" s="1"/>
  <c r="L25" i="4"/>
  <c r="E84" i="9" s="1"/>
  <c r="J25" i="4"/>
  <c r="H25" i="4"/>
  <c r="P25" i="4" s="1"/>
  <c r="S24" i="4"/>
  <c r="E247" i="9" s="1"/>
  <c r="R24" i="4"/>
  <c r="Q24" i="4"/>
  <c r="O24" i="4"/>
  <c r="E153" i="9" s="1"/>
  <c r="M24" i="4" a="1"/>
  <c r="M24" i="4" s="1"/>
  <c r="N24" i="4" s="1"/>
  <c r="E124" i="9" s="1"/>
  <c r="L24" i="4"/>
  <c r="E83" i="9" s="1"/>
  <c r="J24" i="4"/>
  <c r="H24" i="4"/>
  <c r="R23" i="4"/>
  <c r="S23" i="4" s="1"/>
  <c r="E246" i="9" s="1"/>
  <c r="Q23" i="4"/>
  <c r="O23" i="4"/>
  <c r="E152" i="9" s="1"/>
  <c r="M23" i="4" a="1"/>
  <c r="M23" i="4" s="1"/>
  <c r="N23" i="4" s="1"/>
  <c r="E123" i="9" s="1"/>
  <c r="L23" i="4"/>
  <c r="E82" i="9" s="1"/>
  <c r="J23" i="4"/>
  <c r="H23" i="4"/>
  <c r="R22" i="4"/>
  <c r="S22" i="4" s="1"/>
  <c r="E245" i="9" s="1"/>
  <c r="Q22" i="4"/>
  <c r="O22" i="4"/>
  <c r="E151" i="9" s="1"/>
  <c r="M22" i="4" a="1"/>
  <c r="M22" i="4" s="1"/>
  <c r="N22" i="4" s="1"/>
  <c r="E122" i="9" s="1"/>
  <c r="L22" i="4"/>
  <c r="J22" i="4"/>
  <c r="H22" i="4"/>
  <c r="S21" i="4"/>
  <c r="E244" i="9" s="1"/>
  <c r="R21" i="4"/>
  <c r="Q21" i="4"/>
  <c r="O21" i="4"/>
  <c r="E150" i="9" s="1"/>
  <c r="M21" i="4" a="1"/>
  <c r="M21" i="4" s="1"/>
  <c r="N21" i="4" s="1"/>
  <c r="E121" i="9" s="1"/>
  <c r="L21" i="4"/>
  <c r="E80" i="9" s="1"/>
  <c r="J21" i="4"/>
  <c r="H21" i="4"/>
  <c r="R20" i="4"/>
  <c r="S20" i="4" s="1"/>
  <c r="E243" i="9" s="1"/>
  <c r="Q20" i="4"/>
  <c r="O20" i="4"/>
  <c r="E149" i="9" s="1"/>
  <c r="M20" i="4" a="1"/>
  <c r="M20" i="4" s="1"/>
  <c r="N20" i="4" s="1"/>
  <c r="E120" i="9" s="1"/>
  <c r="L20" i="4"/>
  <c r="E79" i="9" s="1"/>
  <c r="J20" i="4"/>
  <c r="H20" i="4"/>
  <c r="S19" i="4"/>
  <c r="E242" i="9" s="1"/>
  <c r="R19" i="4"/>
  <c r="Q19" i="4"/>
  <c r="O19" i="4"/>
  <c r="E148" i="9" s="1"/>
  <c r="M19" i="4" a="1"/>
  <c r="M19" i="4" s="1"/>
  <c r="N19" i="4" s="1"/>
  <c r="E119" i="9" s="1"/>
  <c r="L19" i="4"/>
  <c r="E78" i="9" s="1"/>
  <c r="J19" i="4"/>
  <c r="I19" i="4"/>
  <c r="E20" i="9" s="1"/>
  <c r="H19" i="4"/>
  <c r="R18" i="4"/>
  <c r="S18" i="4" s="1"/>
  <c r="E241" i="9" s="1"/>
  <c r="Q18" i="4"/>
  <c r="O18" i="4"/>
  <c r="E147" i="9" s="1"/>
  <c r="M18" i="4" a="1"/>
  <c r="M18" i="4" s="1"/>
  <c r="N18" i="4" s="1"/>
  <c r="E118" i="9" s="1"/>
  <c r="L18" i="4"/>
  <c r="E77" i="9" s="1"/>
  <c r="J18" i="4"/>
  <c r="H18" i="4"/>
  <c r="S17" i="4"/>
  <c r="E240" i="9" s="1"/>
  <c r="R17" i="4"/>
  <c r="Q17" i="4"/>
  <c r="O17" i="4"/>
  <c r="E146" i="9" s="1"/>
  <c r="M17" i="4" a="1"/>
  <c r="M17" i="4" s="1"/>
  <c r="N17" i="4" s="1"/>
  <c r="E117" i="9" s="1"/>
  <c r="L17" i="4"/>
  <c r="E76" i="9" s="1"/>
  <c r="J17" i="4"/>
  <c r="H17" i="4"/>
  <c r="P17" i="4" s="1"/>
  <c r="R16" i="4"/>
  <c r="S16" i="4" s="1"/>
  <c r="E239" i="9" s="1"/>
  <c r="Q16" i="4"/>
  <c r="O16" i="4"/>
  <c r="E145" i="9" s="1"/>
  <c r="M16" i="4" a="1"/>
  <c r="M16" i="4" s="1"/>
  <c r="N16" i="4" s="1"/>
  <c r="E116" i="9" s="1"/>
  <c r="L16" i="4"/>
  <c r="E75" i="9" s="1"/>
  <c r="J16" i="4"/>
  <c r="K16" i="4" s="1"/>
  <c r="E46" i="9" s="1"/>
  <c r="H16" i="4"/>
  <c r="R15" i="4"/>
  <c r="S15" i="4" s="1"/>
  <c r="E238" i="9" s="1"/>
  <c r="Q15" i="4"/>
  <c r="O15" i="4"/>
  <c r="E144" i="9" s="1"/>
  <c r="M15" i="4" a="1"/>
  <c r="M15" i="4" s="1"/>
  <c r="N15" i="4" s="1"/>
  <c r="E115" i="9" s="1"/>
  <c r="L15" i="4"/>
  <c r="E74" i="9" s="1"/>
  <c r="J15" i="4"/>
  <c r="H15" i="4"/>
  <c r="I15" i="4" s="1"/>
  <c r="E16" i="9" s="1"/>
  <c r="S14" i="4"/>
  <c r="E237" i="9" s="1"/>
  <c r="R14" i="4"/>
  <c r="Q14" i="4"/>
  <c r="O14" i="4"/>
  <c r="E143" i="9" s="1"/>
  <c r="M14" i="4" a="1"/>
  <c r="M14" i="4" s="1"/>
  <c r="N14" i="4" s="1"/>
  <c r="E114" i="9" s="1"/>
  <c r="L14" i="4"/>
  <c r="E73" i="9" s="1"/>
  <c r="J14" i="4"/>
  <c r="H14" i="4"/>
  <c r="P15" i="4" s="1"/>
  <c r="R13" i="4"/>
  <c r="S13" i="4" s="1"/>
  <c r="E236" i="9" s="1"/>
  <c r="Q13" i="4"/>
  <c r="O13" i="4"/>
  <c r="E142" i="9" s="1"/>
  <c r="M13" i="4" a="1"/>
  <c r="M13" i="4"/>
  <c r="N13" i="4" s="1"/>
  <c r="E113" i="9" s="1"/>
  <c r="L13" i="4"/>
  <c r="E72" i="9" s="1"/>
  <c r="J13" i="4"/>
  <c r="H13" i="4"/>
  <c r="R12" i="4"/>
  <c r="S12" i="4" s="1"/>
  <c r="E235" i="9" s="1"/>
  <c r="Q12" i="4"/>
  <c r="O12" i="4"/>
  <c r="E141" i="9" s="1"/>
  <c r="M12" i="4" a="1"/>
  <c r="M12" i="4" s="1"/>
  <c r="N12" i="4" s="1"/>
  <c r="E112" i="9" s="1"/>
  <c r="L12" i="4"/>
  <c r="J12" i="4"/>
  <c r="H12" i="4"/>
  <c r="R11" i="4"/>
  <c r="S11" i="4" s="1"/>
  <c r="E234" i="9" s="1"/>
  <c r="Q11" i="4"/>
  <c r="O11" i="4"/>
  <c r="E140" i="9" s="1"/>
  <c r="M11" i="4" a="1"/>
  <c r="M11" i="4" s="1"/>
  <c r="N11" i="4" s="1"/>
  <c r="E111" i="9" s="1"/>
  <c r="L11" i="4"/>
  <c r="E70" i="9" s="1"/>
  <c r="J11" i="4"/>
  <c r="H11" i="4"/>
  <c r="I11" i="4" s="1"/>
  <c r="E12" i="9" s="1"/>
  <c r="S10" i="4"/>
  <c r="E233" i="9" s="1"/>
  <c r="R10" i="4"/>
  <c r="Q10" i="4"/>
  <c r="O10" i="4"/>
  <c r="E139" i="9" s="1"/>
  <c r="M10" i="4" a="1"/>
  <c r="M10" i="4" s="1"/>
  <c r="N10" i="4" s="1"/>
  <c r="E110" i="9" s="1"/>
  <c r="L10" i="4"/>
  <c r="J10" i="4"/>
  <c r="H10" i="4"/>
  <c r="S9" i="4"/>
  <c r="E232" i="9" s="1"/>
  <c r="R9" i="4"/>
  <c r="Q9" i="4"/>
  <c r="O9" i="4"/>
  <c r="E138" i="9" s="1"/>
  <c r="M9" i="4" a="1"/>
  <c r="M9" i="4"/>
  <c r="N9" i="4" s="1"/>
  <c r="E109" i="9" s="1"/>
  <c r="L9" i="4"/>
  <c r="E68" i="9" s="1"/>
  <c r="J9" i="4"/>
  <c r="H9" i="4"/>
  <c r="R8" i="4"/>
  <c r="S8" i="4" s="1"/>
  <c r="E231" i="9" s="1"/>
  <c r="Q8" i="4"/>
  <c r="O8" i="4"/>
  <c r="E137" i="9" s="1"/>
  <c r="M8" i="4" a="1"/>
  <c r="M8" i="4" s="1"/>
  <c r="N8" i="4" s="1"/>
  <c r="E108" i="9" s="1"/>
  <c r="L8" i="4"/>
  <c r="E67" i="9" s="1"/>
  <c r="J8" i="4"/>
  <c r="H8" i="4"/>
  <c r="P8" i="4" s="1"/>
  <c r="R7" i="4"/>
  <c r="S7" i="4" s="1"/>
  <c r="E230" i="9" s="1"/>
  <c r="Q7" i="4"/>
  <c r="O7" i="4"/>
  <c r="E136" i="9" s="1"/>
  <c r="M7" i="4" a="1"/>
  <c r="M7" i="4" s="1"/>
  <c r="N7" i="4" s="1"/>
  <c r="E107" i="9" s="1"/>
  <c r="L7" i="4"/>
  <c r="E66" i="9" s="1"/>
  <c r="J7" i="4"/>
  <c r="H7" i="4"/>
  <c r="I7" i="4" s="1"/>
  <c r="E8" i="9" s="1"/>
  <c r="R6" i="4"/>
  <c r="S6" i="4" s="1"/>
  <c r="E229" i="9" s="1"/>
  <c r="Q6" i="4"/>
  <c r="O6" i="4"/>
  <c r="E135" i="9" s="1"/>
  <c r="M6" i="4" a="1"/>
  <c r="M6" i="4" s="1"/>
  <c r="N6" i="4" s="1"/>
  <c r="E106" i="9" s="1"/>
  <c r="L6" i="4"/>
  <c r="E65" i="9" s="1"/>
  <c r="J6" i="4"/>
  <c r="K6" i="4" s="1"/>
  <c r="E36" i="9" s="1"/>
  <c r="H6" i="4"/>
  <c r="R5" i="4"/>
  <c r="S5" i="4" s="1"/>
  <c r="E228" i="9" s="1"/>
  <c r="Q5" i="4"/>
  <c r="O5" i="4"/>
  <c r="E134" i="9" s="1"/>
  <c r="M5" i="4" a="1"/>
  <c r="M5" i="4"/>
  <c r="N5" i="4" s="1"/>
  <c r="E105" i="9" s="1"/>
  <c r="L5" i="4"/>
  <c r="E64" i="9" s="1"/>
  <c r="J5" i="4"/>
  <c r="H5" i="4"/>
  <c r="P5" i="4" s="1"/>
  <c r="R4" i="4"/>
  <c r="S4" i="4" s="1"/>
  <c r="E227" i="9" s="1"/>
  <c r="Q4" i="4"/>
  <c r="O4" i="4"/>
  <c r="E133" i="9" s="1"/>
  <c r="M4" i="4" a="1"/>
  <c r="M4" i="4" s="1"/>
  <c r="N4" i="4" s="1"/>
  <c r="E104" i="9" s="1"/>
  <c r="L4" i="4"/>
  <c r="E63" i="9" s="1"/>
  <c r="J4" i="4"/>
  <c r="H4" i="4"/>
  <c r="S3" i="4"/>
  <c r="E226" i="9" s="1"/>
  <c r="R3" i="4"/>
  <c r="Q3" i="4"/>
  <c r="O3" i="4"/>
  <c r="M3" i="4" a="1"/>
  <c r="M3" i="4" s="1"/>
  <c r="N3" i="4" s="1"/>
  <c r="E103" i="9" s="1"/>
  <c r="L3" i="4"/>
  <c r="J3" i="4"/>
  <c r="H3" i="4"/>
  <c r="P3" i="4" s="1"/>
  <c r="S2" i="4"/>
  <c r="E225" i="9" s="1"/>
  <c r="R2" i="4"/>
  <c r="M2" i="4" a="1"/>
  <c r="M2" i="4"/>
  <c r="N2" i="4" s="1"/>
  <c r="E102" i="9" s="1"/>
  <c r="J2" i="4"/>
  <c r="H2" i="4"/>
  <c r="I2" i="4" s="1"/>
  <c r="E3" i="9" s="1"/>
  <c r="S26" i="3"/>
  <c r="T26" i="3" s="1"/>
  <c r="D249" i="9" s="1"/>
  <c r="R26" i="3"/>
  <c r="P26" i="3"/>
  <c r="D155" i="9" s="1"/>
  <c r="S25" i="3"/>
  <c r="T25" i="3" s="1"/>
  <c r="D248" i="9" s="1"/>
  <c r="R25" i="3"/>
  <c r="P25" i="3"/>
  <c r="D154" i="9" s="1"/>
  <c r="T24" i="3"/>
  <c r="D247" i="9" s="1"/>
  <c r="S24" i="3"/>
  <c r="R24" i="3"/>
  <c r="P24" i="3"/>
  <c r="D153" i="9" s="1"/>
  <c r="S23" i="3"/>
  <c r="T23" i="3" s="1"/>
  <c r="D246" i="9" s="1"/>
  <c r="R23" i="3"/>
  <c r="P23" i="3"/>
  <c r="D152" i="9" s="1"/>
  <c r="S22" i="3"/>
  <c r="T22" i="3" s="1"/>
  <c r="D245" i="9" s="1"/>
  <c r="R22" i="3"/>
  <c r="P22" i="3"/>
  <c r="D151" i="9" s="1"/>
  <c r="S21" i="3"/>
  <c r="T21" i="3" s="1"/>
  <c r="D244" i="9" s="1"/>
  <c r="R21" i="3"/>
  <c r="P21" i="3"/>
  <c r="D150" i="9" s="1"/>
  <c r="T20" i="3"/>
  <c r="D243" i="9" s="1"/>
  <c r="S20" i="3"/>
  <c r="R20" i="3"/>
  <c r="P20" i="3"/>
  <c r="D149" i="9" s="1"/>
  <c r="S19" i="3"/>
  <c r="T19" i="3" s="1"/>
  <c r="D242" i="9" s="1"/>
  <c r="R19" i="3"/>
  <c r="P19" i="3"/>
  <c r="D148" i="9" s="1"/>
  <c r="S18" i="3"/>
  <c r="T18" i="3" s="1"/>
  <c r="D241" i="9" s="1"/>
  <c r="R18" i="3"/>
  <c r="P18" i="3"/>
  <c r="D147" i="9" s="1"/>
  <c r="S17" i="3"/>
  <c r="T17" i="3" s="1"/>
  <c r="D240" i="9" s="1"/>
  <c r="R17" i="3"/>
  <c r="P17" i="3"/>
  <c r="D146" i="9" s="1"/>
  <c r="T16" i="3"/>
  <c r="D239" i="9" s="1"/>
  <c r="S16" i="3"/>
  <c r="R16" i="3"/>
  <c r="P16" i="3"/>
  <c r="D145" i="9" s="1"/>
  <c r="S15" i="3"/>
  <c r="T15" i="3" s="1"/>
  <c r="D238" i="9" s="1"/>
  <c r="R15" i="3"/>
  <c r="P15" i="3"/>
  <c r="D144" i="9" s="1"/>
  <c r="T14" i="3"/>
  <c r="D237" i="9" s="1"/>
  <c r="S14" i="3"/>
  <c r="R14" i="3"/>
  <c r="P14" i="3"/>
  <c r="D143" i="9" s="1"/>
  <c r="S13" i="3"/>
  <c r="T13" i="3" s="1"/>
  <c r="D236" i="9" s="1"/>
  <c r="R13" i="3"/>
  <c r="P13" i="3"/>
  <c r="D142" i="9" s="1"/>
  <c r="S12" i="3"/>
  <c r="T12" i="3" s="1"/>
  <c r="D235" i="9" s="1"/>
  <c r="R12" i="3"/>
  <c r="P12" i="3"/>
  <c r="D141" i="9" s="1"/>
  <c r="S11" i="3"/>
  <c r="T11" i="3" s="1"/>
  <c r="D234" i="9" s="1"/>
  <c r="R11" i="3"/>
  <c r="P11" i="3"/>
  <c r="D140" i="9" s="1"/>
  <c r="S10" i="3"/>
  <c r="T10" i="3" s="1"/>
  <c r="D233" i="9" s="1"/>
  <c r="R10" i="3"/>
  <c r="P10" i="3"/>
  <c r="D139" i="9" s="1"/>
  <c r="S9" i="3"/>
  <c r="T9" i="3" s="1"/>
  <c r="D232" i="9" s="1"/>
  <c r="R9" i="3"/>
  <c r="P9" i="3"/>
  <c r="D138" i="9" s="1"/>
  <c r="T8" i="3"/>
  <c r="D231" i="9" s="1"/>
  <c r="S8" i="3"/>
  <c r="R8" i="3"/>
  <c r="P8" i="3"/>
  <c r="D137" i="9" s="1"/>
  <c r="S7" i="3"/>
  <c r="T7" i="3" s="1"/>
  <c r="D230" i="9" s="1"/>
  <c r="R7" i="3"/>
  <c r="P7" i="3"/>
  <c r="D136" i="9" s="1"/>
  <c r="T6" i="3"/>
  <c r="D229" i="9" s="1"/>
  <c r="S6" i="3"/>
  <c r="R6" i="3"/>
  <c r="P6" i="3"/>
  <c r="D135" i="9" s="1"/>
  <c r="S5" i="3"/>
  <c r="T5" i="3" s="1"/>
  <c r="D228" i="9" s="1"/>
  <c r="R5" i="3"/>
  <c r="P5" i="3"/>
  <c r="D134" i="9" s="1"/>
  <c r="S4" i="3"/>
  <c r="T4" i="3" s="1"/>
  <c r="D227" i="9" s="1"/>
  <c r="R4" i="3"/>
  <c r="P4" i="3"/>
  <c r="D133" i="9" s="1"/>
  <c r="S3" i="3"/>
  <c r="T3" i="3" s="1"/>
  <c r="D226" i="9" s="1"/>
  <c r="R3" i="3"/>
  <c r="P3" i="3"/>
  <c r="S2" i="3"/>
  <c r="T2" i="3" s="1"/>
  <c r="D225" i="9" s="1"/>
  <c r="D2" i="3"/>
  <c r="K2" i="3" s="1"/>
  <c r="L2" i="3" s="1"/>
  <c r="D32" i="9" s="1"/>
  <c r="R26" i="2"/>
  <c r="S26" i="2" s="1"/>
  <c r="C249" i="9" s="1"/>
  <c r="Q26" i="2"/>
  <c r="O26" i="2"/>
  <c r="C155" i="9" s="1"/>
  <c r="M26" i="2" a="1"/>
  <c r="M26" i="2"/>
  <c r="N26" i="2" s="1"/>
  <c r="C126" i="9" s="1"/>
  <c r="L26" i="2"/>
  <c r="C85" i="9" s="1"/>
  <c r="J26" i="2"/>
  <c r="H26" i="2"/>
  <c r="P26" i="2" s="1"/>
  <c r="R25" i="2"/>
  <c r="S25" i="2" s="1"/>
  <c r="C248" i="9" s="1"/>
  <c r="Q25" i="2"/>
  <c r="P25" i="2"/>
  <c r="O25" i="2"/>
  <c r="C154" i="9" s="1"/>
  <c r="M25" i="2" a="1"/>
  <c r="M25" i="2" s="1"/>
  <c r="N25" i="2" s="1"/>
  <c r="C125" i="9" s="1"/>
  <c r="L25" i="2"/>
  <c r="C84" i="9" s="1"/>
  <c r="J25" i="2"/>
  <c r="H25" i="2"/>
  <c r="R24" i="2"/>
  <c r="S24" i="2" s="1"/>
  <c r="C247" i="9" s="1"/>
  <c r="Q24" i="2"/>
  <c r="O24" i="2"/>
  <c r="C153" i="9" s="1"/>
  <c r="M24" i="2" a="1"/>
  <c r="M24" i="2" s="1"/>
  <c r="N24" i="2" s="1"/>
  <c r="C124" i="9" s="1"/>
  <c r="L24" i="2"/>
  <c r="C83" i="9" s="1"/>
  <c r="J24" i="2"/>
  <c r="H24" i="2"/>
  <c r="R23" i="2"/>
  <c r="S23" i="2" s="1"/>
  <c r="C246" i="9" s="1"/>
  <c r="Q23" i="2"/>
  <c r="O23" i="2"/>
  <c r="C152" i="9" s="1"/>
  <c r="M23" i="2" a="1"/>
  <c r="M23" i="2" s="1"/>
  <c r="N23" i="2" s="1"/>
  <c r="C123" i="9" s="1"/>
  <c r="L23" i="2"/>
  <c r="C82" i="9" s="1"/>
  <c r="J23" i="2"/>
  <c r="H23" i="2"/>
  <c r="P24" i="2" s="1"/>
  <c r="R22" i="2"/>
  <c r="S22" i="2" s="1"/>
  <c r="C245" i="9" s="1"/>
  <c r="Q22" i="2"/>
  <c r="O22" i="2"/>
  <c r="C151" i="9" s="1"/>
  <c r="M22" i="2" a="1"/>
  <c r="M22" i="2"/>
  <c r="N22" i="2" s="1"/>
  <c r="C122" i="9" s="1"/>
  <c r="L22" i="2"/>
  <c r="J22" i="2"/>
  <c r="K22" i="2" s="1"/>
  <c r="C52" i="9" s="1"/>
  <c r="H22" i="2"/>
  <c r="R21" i="2"/>
  <c r="S21" i="2" s="1"/>
  <c r="C244" i="9" s="1"/>
  <c r="Q21" i="2"/>
  <c r="O21" i="2"/>
  <c r="C150" i="9" s="1"/>
  <c r="M21" i="2" a="1"/>
  <c r="M21" i="2" s="1"/>
  <c r="N21" i="2" s="1"/>
  <c r="C121" i="9" s="1"/>
  <c r="L21" i="2"/>
  <c r="C80" i="9" s="1"/>
  <c r="J21" i="2"/>
  <c r="H21" i="2"/>
  <c r="P21" i="2" s="1"/>
  <c r="R20" i="2"/>
  <c r="S20" i="2" s="1"/>
  <c r="C243" i="9" s="1"/>
  <c r="Q20" i="2"/>
  <c r="O20" i="2"/>
  <c r="C149" i="9" s="1"/>
  <c r="M20" i="2" a="1"/>
  <c r="M20" i="2" s="1"/>
  <c r="N20" i="2" s="1"/>
  <c r="C120" i="9" s="1"/>
  <c r="L20" i="2"/>
  <c r="C79" i="9" s="1"/>
  <c r="J20" i="2"/>
  <c r="K20" i="2" s="1"/>
  <c r="C50" i="9" s="1"/>
  <c r="H20" i="2"/>
  <c r="P20" i="2" s="1"/>
  <c r="R19" i="2"/>
  <c r="S19" i="2" s="1"/>
  <c r="C242" i="9" s="1"/>
  <c r="Q19" i="2"/>
  <c r="O19" i="2"/>
  <c r="C148" i="9" s="1"/>
  <c r="M19" i="2" a="1"/>
  <c r="M19" i="2"/>
  <c r="N19" i="2" s="1"/>
  <c r="C119" i="9" s="1"/>
  <c r="L19" i="2"/>
  <c r="C78" i="9" s="1"/>
  <c r="J19" i="2"/>
  <c r="K19" i="2" s="1"/>
  <c r="C49" i="9" s="1"/>
  <c r="H19" i="2"/>
  <c r="P19" i="2" s="1"/>
  <c r="R18" i="2"/>
  <c r="S18" i="2" s="1"/>
  <c r="C241" i="9" s="1"/>
  <c r="Q18" i="2"/>
  <c r="O18" i="2"/>
  <c r="C147" i="9" s="1"/>
  <c r="M18" i="2" a="1"/>
  <c r="M18" i="2" s="1"/>
  <c r="N18" i="2" s="1"/>
  <c r="C118" i="9" s="1"/>
  <c r="L18" i="2"/>
  <c r="C77" i="9" s="1"/>
  <c r="J18" i="2"/>
  <c r="H18" i="2"/>
  <c r="P18" i="2" s="1"/>
  <c r="R17" i="2"/>
  <c r="S17" i="2" s="1"/>
  <c r="C240" i="9" s="1"/>
  <c r="Q17" i="2"/>
  <c r="O17" i="2"/>
  <c r="C146" i="9" s="1"/>
  <c r="M17" i="2" a="1"/>
  <c r="M17" i="2"/>
  <c r="N17" i="2" s="1"/>
  <c r="C117" i="9" s="1"/>
  <c r="L17" i="2"/>
  <c r="C76" i="9" s="1"/>
  <c r="J17" i="2"/>
  <c r="H17" i="2"/>
  <c r="P17" i="2" s="1"/>
  <c r="R16" i="2"/>
  <c r="S16" i="2" s="1"/>
  <c r="C239" i="9" s="1"/>
  <c r="Q16" i="2"/>
  <c r="O16" i="2"/>
  <c r="C145" i="9" s="1"/>
  <c r="M16" i="2" a="1"/>
  <c r="M16" i="2"/>
  <c r="N16" i="2" s="1"/>
  <c r="C116" i="9" s="1"/>
  <c r="L16" i="2"/>
  <c r="C75" i="9" s="1"/>
  <c r="J16" i="2"/>
  <c r="K16" i="2" s="1"/>
  <c r="C46" i="9" s="1"/>
  <c r="H16" i="2"/>
  <c r="R15" i="2"/>
  <c r="S15" i="2" s="1"/>
  <c r="C238" i="9" s="1"/>
  <c r="Q15" i="2"/>
  <c r="O15" i="2"/>
  <c r="C144" i="9" s="1"/>
  <c r="M15" i="2" a="1"/>
  <c r="M15" i="2" s="1"/>
  <c r="N15" i="2" s="1"/>
  <c r="C115" i="9" s="1"/>
  <c r="L15" i="2"/>
  <c r="C74" i="9" s="1"/>
  <c r="J15" i="2"/>
  <c r="K15" i="2" s="1"/>
  <c r="C45" i="9" s="1"/>
  <c r="H15" i="2"/>
  <c r="P15" i="2" s="1"/>
  <c r="S14" i="2"/>
  <c r="C237" i="9" s="1"/>
  <c r="R14" i="2"/>
  <c r="Q14" i="2"/>
  <c r="O14" i="2"/>
  <c r="C143" i="9" s="1"/>
  <c r="M14" i="2" a="1"/>
  <c r="M14" i="2" s="1"/>
  <c r="N14" i="2" s="1"/>
  <c r="C114" i="9" s="1"/>
  <c r="L14" i="2"/>
  <c r="C73" i="9" s="1"/>
  <c r="J14" i="2"/>
  <c r="K14" i="2" s="1"/>
  <c r="C44" i="9" s="1"/>
  <c r="H14" i="2"/>
  <c r="P14" i="2" s="1"/>
  <c r="R13" i="2"/>
  <c r="S13" i="2" s="1"/>
  <c r="C236" i="9" s="1"/>
  <c r="Q13" i="2"/>
  <c r="O13" i="2"/>
  <c r="C142" i="9" s="1"/>
  <c r="M13" i="2" a="1"/>
  <c r="M13" i="2" s="1"/>
  <c r="N13" i="2" s="1"/>
  <c r="C113" i="9" s="1"/>
  <c r="L13" i="2"/>
  <c r="C72" i="9" s="1"/>
  <c r="J13" i="2"/>
  <c r="H13" i="2"/>
  <c r="R12" i="2"/>
  <c r="S12" i="2" s="1"/>
  <c r="C235" i="9" s="1"/>
  <c r="Q12" i="2"/>
  <c r="O12" i="2"/>
  <c r="C141" i="9" s="1"/>
  <c r="M12" i="2" a="1"/>
  <c r="M12" i="2"/>
  <c r="N12" i="2" s="1"/>
  <c r="C112" i="9" s="1"/>
  <c r="L12" i="2"/>
  <c r="J12" i="2"/>
  <c r="K12" i="2" s="1"/>
  <c r="C42" i="9" s="1"/>
  <c r="H12" i="2"/>
  <c r="R11" i="2"/>
  <c r="S11" i="2" s="1"/>
  <c r="C234" i="9" s="1"/>
  <c r="Q11" i="2"/>
  <c r="P11" i="2"/>
  <c r="O11" i="2"/>
  <c r="C140" i="9" s="1"/>
  <c r="M11" i="2" a="1"/>
  <c r="M11" i="2"/>
  <c r="N11" i="2" s="1"/>
  <c r="C111" i="9" s="1"/>
  <c r="L11" i="2"/>
  <c r="C70" i="9" s="1"/>
  <c r="J11" i="2"/>
  <c r="H11" i="2"/>
  <c r="R10" i="2"/>
  <c r="S10" i="2" s="1"/>
  <c r="C233" i="9" s="1"/>
  <c r="Q10" i="2"/>
  <c r="P10" i="2"/>
  <c r="O10" i="2"/>
  <c r="C139" i="9" s="1"/>
  <c r="M10" i="2" a="1"/>
  <c r="M10" i="2" s="1"/>
  <c r="N10" i="2" s="1"/>
  <c r="C110" i="9" s="1"/>
  <c r="L10" i="2"/>
  <c r="J10" i="2"/>
  <c r="H10" i="2"/>
  <c r="R9" i="2"/>
  <c r="S9" i="2" s="1"/>
  <c r="C232" i="9" s="1"/>
  <c r="Q9" i="2"/>
  <c r="O9" i="2"/>
  <c r="C138" i="9" s="1"/>
  <c r="M9" i="2" a="1"/>
  <c r="M9" i="2" s="1"/>
  <c r="N9" i="2" s="1"/>
  <c r="C109" i="9" s="1"/>
  <c r="L9" i="2"/>
  <c r="C68" i="9" s="1"/>
  <c r="J9" i="2"/>
  <c r="K9" i="2" s="1"/>
  <c r="C39" i="9" s="1"/>
  <c r="H9" i="2"/>
  <c r="P9" i="2" s="1"/>
  <c r="R8" i="2"/>
  <c r="S8" i="2" s="1"/>
  <c r="C231" i="9" s="1"/>
  <c r="Q8" i="2"/>
  <c r="O8" i="2"/>
  <c r="C137" i="9" s="1"/>
  <c r="M8" i="2" a="1"/>
  <c r="M8" i="2"/>
  <c r="N8" i="2" s="1"/>
  <c r="C108" i="9" s="1"/>
  <c r="L8" i="2"/>
  <c r="C67" i="9" s="1"/>
  <c r="J8" i="2"/>
  <c r="K8" i="2" s="1"/>
  <c r="C38" i="9" s="1"/>
  <c r="H8" i="2"/>
  <c r="R7" i="2"/>
  <c r="S7" i="2" s="1"/>
  <c r="C230" i="9" s="1"/>
  <c r="Q7" i="2"/>
  <c r="P7" i="2"/>
  <c r="O7" i="2"/>
  <c r="C136" i="9" s="1"/>
  <c r="M7" i="2" a="1"/>
  <c r="M7" i="2"/>
  <c r="N7" i="2" s="1"/>
  <c r="C107" i="9" s="1"/>
  <c r="L7" i="2"/>
  <c r="C66" i="9" s="1"/>
  <c r="J7" i="2"/>
  <c r="K7" i="2" s="1"/>
  <c r="C37" i="9" s="1"/>
  <c r="H7" i="2"/>
  <c r="R6" i="2"/>
  <c r="S6" i="2" s="1"/>
  <c r="C229" i="9" s="1"/>
  <c r="Q6" i="2"/>
  <c r="P6" i="2"/>
  <c r="O6" i="2"/>
  <c r="C135" i="9" s="1"/>
  <c r="M6" i="2" a="1"/>
  <c r="M6" i="2"/>
  <c r="N6" i="2" s="1"/>
  <c r="C106" i="9" s="1"/>
  <c r="L6" i="2"/>
  <c r="C65" i="9" s="1"/>
  <c r="J6" i="2"/>
  <c r="K6" i="2" s="1"/>
  <c r="C36" i="9" s="1"/>
  <c r="H6" i="2"/>
  <c r="R5" i="2"/>
  <c r="S5" i="2" s="1"/>
  <c r="C228" i="9" s="1"/>
  <c r="Q5" i="2"/>
  <c r="O5" i="2"/>
  <c r="C134" i="9" s="1"/>
  <c r="M5" i="2" a="1"/>
  <c r="M5" i="2"/>
  <c r="N5" i="2" s="1"/>
  <c r="C105" i="9" s="1"/>
  <c r="L5" i="2"/>
  <c r="C64" i="9" s="1"/>
  <c r="J5" i="2"/>
  <c r="K5" i="2" s="1"/>
  <c r="C35" i="9" s="1"/>
  <c r="H5" i="2"/>
  <c r="R4" i="2"/>
  <c r="S4" i="2" s="1"/>
  <c r="C227" i="9" s="1"/>
  <c r="Q4" i="2"/>
  <c r="O4" i="2"/>
  <c r="C133" i="9" s="1"/>
  <c r="M4" i="2" a="1"/>
  <c r="M4" i="2" s="1"/>
  <c r="N4" i="2" s="1"/>
  <c r="C104" i="9" s="1"/>
  <c r="L4" i="2"/>
  <c r="C63" i="9" s="1"/>
  <c r="J4" i="2"/>
  <c r="K4" i="2" s="1"/>
  <c r="C34" i="9" s="1"/>
  <c r="H4" i="2"/>
  <c r="P5" i="2" s="1"/>
  <c r="R3" i="2"/>
  <c r="S3" i="2" s="1"/>
  <c r="C226" i="9" s="1"/>
  <c r="Q3" i="2"/>
  <c r="O3" i="2"/>
  <c r="N3" i="2"/>
  <c r="C103" i="9" s="1"/>
  <c r="M3" i="2" a="1"/>
  <c r="M3" i="2"/>
  <c r="L3" i="2"/>
  <c r="J3" i="2"/>
  <c r="K3" i="2" s="1"/>
  <c r="C33" i="9" s="1"/>
  <c r="H3" i="2"/>
  <c r="R2" i="2"/>
  <c r="S2" i="2" s="1"/>
  <c r="C225" i="9" s="1"/>
  <c r="M2" i="2" a="1"/>
  <c r="M2" i="2" s="1"/>
  <c r="N2" i="2" s="1"/>
  <c r="C102" i="9" s="1"/>
  <c r="J2" i="2"/>
  <c r="K18" i="2" s="1"/>
  <c r="C48" i="9" s="1"/>
  <c r="H2" i="2"/>
  <c r="I19" i="2" s="1"/>
  <c r="C20" i="9" s="1"/>
  <c r="R26" i="1"/>
  <c r="S26" i="1" s="1"/>
  <c r="B249" i="9" s="1"/>
  <c r="Q26" i="1"/>
  <c r="O26" i="1"/>
  <c r="B155" i="9" s="1"/>
  <c r="M26" i="1" a="1"/>
  <c r="M26" i="1" s="1"/>
  <c r="N26" i="1" s="1"/>
  <c r="B126" i="9" s="1"/>
  <c r="L26" i="1"/>
  <c r="B85" i="9" s="1"/>
  <c r="J26" i="1"/>
  <c r="H26" i="1"/>
  <c r="R25" i="1"/>
  <c r="S25" i="1" s="1"/>
  <c r="B248" i="9" s="1"/>
  <c r="Q25" i="1"/>
  <c r="O25" i="1"/>
  <c r="B154" i="9" s="1"/>
  <c r="M25" i="1" a="1"/>
  <c r="M25" i="1" s="1"/>
  <c r="N25" i="1" s="1"/>
  <c r="B125" i="9" s="1"/>
  <c r="L25" i="1"/>
  <c r="B84" i="9" s="1"/>
  <c r="J25" i="1"/>
  <c r="H25" i="1"/>
  <c r="R24" i="1"/>
  <c r="S24" i="1" s="1"/>
  <c r="B247" i="9" s="1"/>
  <c r="Q24" i="1"/>
  <c r="O24" i="1"/>
  <c r="B153" i="9" s="1"/>
  <c r="M24" i="1" a="1"/>
  <c r="M24" i="1"/>
  <c r="N24" i="1" s="1"/>
  <c r="B124" i="9" s="1"/>
  <c r="L24" i="1"/>
  <c r="B83" i="9" s="1"/>
  <c r="J24" i="1"/>
  <c r="H24" i="1"/>
  <c r="R23" i="1"/>
  <c r="S23" i="1" s="1"/>
  <c r="B246" i="9" s="1"/>
  <c r="Q23" i="1"/>
  <c r="O23" i="1"/>
  <c r="B152" i="9" s="1"/>
  <c r="M23" i="1" a="1"/>
  <c r="M23" i="1" s="1"/>
  <c r="N23" i="1" s="1"/>
  <c r="B123" i="9" s="1"/>
  <c r="L23" i="1"/>
  <c r="B82" i="9" s="1"/>
  <c r="J23" i="1"/>
  <c r="H23" i="1"/>
  <c r="R22" i="1"/>
  <c r="S22" i="1" s="1"/>
  <c r="B245" i="9" s="1"/>
  <c r="Q22" i="1"/>
  <c r="O22" i="1"/>
  <c r="B151" i="9" s="1"/>
  <c r="M22" i="1" a="1"/>
  <c r="M22" i="1"/>
  <c r="N22" i="1" s="1"/>
  <c r="B122" i="9" s="1"/>
  <c r="L22" i="1"/>
  <c r="J22" i="1"/>
  <c r="H22" i="1"/>
  <c r="P22" i="1" s="1"/>
  <c r="R21" i="1"/>
  <c r="S21" i="1" s="1"/>
  <c r="B244" i="9" s="1"/>
  <c r="Q21" i="1"/>
  <c r="O21" i="1"/>
  <c r="B150" i="9" s="1"/>
  <c r="M21" i="1" a="1"/>
  <c r="M21" i="1" s="1"/>
  <c r="N21" i="1" s="1"/>
  <c r="B121" i="9" s="1"/>
  <c r="L21" i="1"/>
  <c r="B80" i="9" s="1"/>
  <c r="J21" i="1"/>
  <c r="K21" i="1" s="1"/>
  <c r="B51" i="9" s="1"/>
  <c r="H21" i="1"/>
  <c r="S20" i="1"/>
  <c r="B243" i="9" s="1"/>
  <c r="R20" i="1"/>
  <c r="Q20" i="1"/>
  <c r="O20" i="1"/>
  <c r="B149" i="9" s="1"/>
  <c r="M20" i="1" a="1"/>
  <c r="M20" i="1"/>
  <c r="N20" i="1" s="1"/>
  <c r="B120" i="9" s="1"/>
  <c r="L20" i="1"/>
  <c r="B79" i="9" s="1"/>
  <c r="J20" i="1"/>
  <c r="H20" i="1"/>
  <c r="P20" i="1" s="1"/>
  <c r="R19" i="1"/>
  <c r="S19" i="1" s="1"/>
  <c r="B242" i="9" s="1"/>
  <c r="Q19" i="1"/>
  <c r="O19" i="1"/>
  <c r="B148" i="9" s="1"/>
  <c r="M19" i="1" a="1"/>
  <c r="M19" i="1" s="1"/>
  <c r="N19" i="1" s="1"/>
  <c r="B119" i="9" s="1"/>
  <c r="L19" i="1"/>
  <c r="B78" i="9" s="1"/>
  <c r="J19" i="1"/>
  <c r="H19" i="1"/>
  <c r="P19" i="1" s="1"/>
  <c r="R18" i="1"/>
  <c r="S18" i="1" s="1"/>
  <c r="B241" i="9" s="1"/>
  <c r="Q18" i="1"/>
  <c r="O18" i="1"/>
  <c r="B147" i="9" s="1"/>
  <c r="M18" i="1" a="1"/>
  <c r="M18" i="1" s="1"/>
  <c r="N18" i="1" s="1"/>
  <c r="B118" i="9" s="1"/>
  <c r="L18" i="1"/>
  <c r="B77" i="9" s="1"/>
  <c r="J18" i="1"/>
  <c r="H18" i="1"/>
  <c r="R17" i="1"/>
  <c r="S17" i="1" s="1"/>
  <c r="B240" i="9" s="1"/>
  <c r="Q17" i="1"/>
  <c r="O17" i="1"/>
  <c r="B146" i="9" s="1"/>
  <c r="M17" i="1" a="1"/>
  <c r="M17" i="1"/>
  <c r="N17" i="1" s="1"/>
  <c r="B117" i="9" s="1"/>
  <c r="L17" i="1"/>
  <c r="B76" i="9" s="1"/>
  <c r="J17" i="1"/>
  <c r="H17" i="1"/>
  <c r="P17" i="1" s="1"/>
  <c r="R16" i="1"/>
  <c r="S16" i="1" s="1"/>
  <c r="B239" i="9" s="1"/>
  <c r="Q16" i="1"/>
  <c r="O16" i="1"/>
  <c r="B145" i="9" s="1"/>
  <c r="M16" i="1" a="1"/>
  <c r="M16" i="1" s="1"/>
  <c r="N16" i="1" s="1"/>
  <c r="B116" i="9" s="1"/>
  <c r="L16" i="1"/>
  <c r="B75" i="9" s="1"/>
  <c r="J16" i="1"/>
  <c r="K16" i="1" s="1"/>
  <c r="B46" i="9" s="1"/>
  <c r="H16" i="1"/>
  <c r="R15" i="1"/>
  <c r="S15" i="1" s="1"/>
  <c r="B238" i="9" s="1"/>
  <c r="Q15" i="1"/>
  <c r="O15" i="1"/>
  <c r="B144" i="9" s="1"/>
  <c r="M15" i="1" a="1"/>
  <c r="M15" i="1"/>
  <c r="N15" i="1" s="1"/>
  <c r="B115" i="9" s="1"/>
  <c r="L15" i="1"/>
  <c r="B74" i="9" s="1"/>
  <c r="J15" i="1"/>
  <c r="H15" i="1"/>
  <c r="R14" i="1"/>
  <c r="S14" i="1" s="1"/>
  <c r="B237" i="9" s="1"/>
  <c r="Q14" i="1"/>
  <c r="O14" i="1"/>
  <c r="B143" i="9" s="1"/>
  <c r="M14" i="1" a="1"/>
  <c r="M14" i="1"/>
  <c r="N14" i="1" s="1"/>
  <c r="B114" i="9" s="1"/>
  <c r="L14" i="1"/>
  <c r="B73" i="9" s="1"/>
  <c r="J14" i="1"/>
  <c r="K14" i="1" s="1"/>
  <c r="B44" i="9" s="1"/>
  <c r="H14" i="1"/>
  <c r="R13" i="1"/>
  <c r="S13" i="1" s="1"/>
  <c r="B236" i="9" s="1"/>
  <c r="Q13" i="1"/>
  <c r="O13" i="1"/>
  <c r="B142" i="9" s="1"/>
  <c r="M13" i="1" a="1"/>
  <c r="M13" i="1" s="1"/>
  <c r="N13" i="1" s="1"/>
  <c r="B113" i="9" s="1"/>
  <c r="L13" i="1"/>
  <c r="B72" i="9" s="1"/>
  <c r="J13" i="1"/>
  <c r="K13" i="1" s="1"/>
  <c r="B43" i="9" s="1"/>
  <c r="H13" i="1"/>
  <c r="P13" i="1" s="1"/>
  <c r="R12" i="1"/>
  <c r="S12" i="1" s="1"/>
  <c r="B235" i="9" s="1"/>
  <c r="Q12" i="1"/>
  <c r="O12" i="1"/>
  <c r="B141" i="9" s="1"/>
  <c r="M12" i="1" a="1"/>
  <c r="M12" i="1"/>
  <c r="N12" i="1" s="1"/>
  <c r="B112" i="9" s="1"/>
  <c r="L12" i="1"/>
  <c r="J12" i="1"/>
  <c r="H12" i="1"/>
  <c r="R11" i="1"/>
  <c r="S11" i="1" s="1"/>
  <c r="B234" i="9" s="1"/>
  <c r="Q11" i="1"/>
  <c r="O11" i="1"/>
  <c r="B140" i="9" s="1"/>
  <c r="M11" i="1" a="1"/>
  <c r="M11" i="1" s="1"/>
  <c r="N11" i="1" s="1"/>
  <c r="B111" i="9" s="1"/>
  <c r="L11" i="1"/>
  <c r="B70" i="9" s="1"/>
  <c r="J11" i="1"/>
  <c r="K11" i="1" s="1"/>
  <c r="B41" i="9" s="1"/>
  <c r="H11" i="1"/>
  <c r="I11" i="1" s="1"/>
  <c r="B12" i="9" s="1"/>
  <c r="R10" i="1"/>
  <c r="S10" i="1" s="1"/>
  <c r="B233" i="9" s="1"/>
  <c r="Q10" i="1"/>
  <c r="O10" i="1"/>
  <c r="B139" i="9" s="1"/>
  <c r="M10" i="1" a="1"/>
  <c r="M10" i="1" s="1"/>
  <c r="N10" i="1" s="1"/>
  <c r="B110" i="9" s="1"/>
  <c r="L10" i="1"/>
  <c r="J10" i="1"/>
  <c r="H10" i="1"/>
  <c r="R9" i="1"/>
  <c r="S9" i="1" s="1"/>
  <c r="B232" i="9" s="1"/>
  <c r="Q9" i="1"/>
  <c r="O9" i="1"/>
  <c r="B138" i="9" s="1"/>
  <c r="M9" i="1" a="1"/>
  <c r="M9" i="1"/>
  <c r="N9" i="1" s="1"/>
  <c r="B109" i="9" s="1"/>
  <c r="L9" i="1"/>
  <c r="B68" i="9" s="1"/>
  <c r="J9" i="1"/>
  <c r="H9" i="1"/>
  <c r="R8" i="1"/>
  <c r="S8" i="1" s="1"/>
  <c r="B231" i="9" s="1"/>
  <c r="Q8" i="1"/>
  <c r="O8" i="1"/>
  <c r="B137" i="9" s="1"/>
  <c r="M8" i="1" a="1"/>
  <c r="M8" i="1" s="1"/>
  <c r="N8" i="1" s="1"/>
  <c r="B108" i="9" s="1"/>
  <c r="L8" i="1"/>
  <c r="B67" i="9" s="1"/>
  <c r="J8" i="1"/>
  <c r="K8" i="1" s="1"/>
  <c r="B38" i="9" s="1"/>
  <c r="H8" i="1"/>
  <c r="I8" i="1" s="1"/>
  <c r="B9" i="9" s="1"/>
  <c r="R7" i="1"/>
  <c r="S7" i="1" s="1"/>
  <c r="B230" i="9" s="1"/>
  <c r="Q7" i="1"/>
  <c r="O7" i="1"/>
  <c r="B136" i="9" s="1"/>
  <c r="M7" i="1" a="1"/>
  <c r="M7" i="1"/>
  <c r="N7" i="1" s="1"/>
  <c r="B107" i="9" s="1"/>
  <c r="L7" i="1"/>
  <c r="B66" i="9" s="1"/>
  <c r="J7" i="1"/>
  <c r="H7" i="1"/>
  <c r="P7" i="1" s="1"/>
  <c r="R6" i="1"/>
  <c r="S6" i="1" s="1"/>
  <c r="B229" i="9" s="1"/>
  <c r="Q6" i="1"/>
  <c r="O6" i="1"/>
  <c r="B135" i="9" s="1"/>
  <c r="M6" i="1" a="1"/>
  <c r="M6" i="1"/>
  <c r="N6" i="1" s="1"/>
  <c r="B106" i="9" s="1"/>
  <c r="L6" i="1"/>
  <c r="B65" i="9" s="1"/>
  <c r="J6" i="1"/>
  <c r="K6" i="1" s="1"/>
  <c r="B36" i="9" s="1"/>
  <c r="H6" i="1"/>
  <c r="P6" i="1" s="1"/>
  <c r="R5" i="1"/>
  <c r="S5" i="1" s="1"/>
  <c r="B228" i="9" s="1"/>
  <c r="Q5" i="1"/>
  <c r="O5" i="1"/>
  <c r="B134" i="9" s="1"/>
  <c r="M5" i="1" a="1"/>
  <c r="M5" i="1" s="1"/>
  <c r="N5" i="1" s="1"/>
  <c r="B105" i="9" s="1"/>
  <c r="L5" i="1"/>
  <c r="B64" i="9" s="1"/>
  <c r="J5" i="1"/>
  <c r="K5" i="1" s="1"/>
  <c r="B35" i="9" s="1"/>
  <c r="H5" i="1"/>
  <c r="I5" i="1" s="1"/>
  <c r="B6" i="9" s="1"/>
  <c r="S4" i="1"/>
  <c r="B227" i="9" s="1"/>
  <c r="R4" i="1"/>
  <c r="Q4" i="1"/>
  <c r="O4" i="1"/>
  <c r="B133" i="9" s="1"/>
  <c r="M4" i="1" a="1"/>
  <c r="M4" i="1"/>
  <c r="N4" i="1" s="1"/>
  <c r="B104" i="9" s="1"/>
  <c r="L4" i="1"/>
  <c r="B63" i="9" s="1"/>
  <c r="J4" i="1"/>
  <c r="H4" i="1"/>
  <c r="P4" i="1" s="1"/>
  <c r="R3" i="1"/>
  <c r="S3" i="1" s="1"/>
  <c r="B226" i="9" s="1"/>
  <c r="Q3" i="1"/>
  <c r="O3" i="1"/>
  <c r="M3" i="1" a="1"/>
  <c r="M3" i="1" s="1"/>
  <c r="N3" i="1" s="1"/>
  <c r="B103" i="9" s="1"/>
  <c r="L3" i="1"/>
  <c r="J3" i="1"/>
  <c r="K3" i="1" s="1"/>
  <c r="B33" i="9" s="1"/>
  <c r="I3" i="1"/>
  <c r="B4" i="9" s="1"/>
  <c r="H3" i="1"/>
  <c r="P3" i="1" s="1"/>
  <c r="R2" i="1"/>
  <c r="S2" i="1" s="1"/>
  <c r="B225" i="9" s="1"/>
  <c r="M2" i="1" a="1"/>
  <c r="M2" i="1" s="1"/>
  <c r="N2" i="1" s="1"/>
  <c r="B102" i="9" s="1"/>
  <c r="J2" i="1"/>
  <c r="H2" i="1"/>
  <c r="I26" i="1" s="1"/>
  <c r="B27" i="9" s="1"/>
  <c r="F256" i="9" l="1"/>
  <c r="B269" i="9" s="1"/>
  <c r="F258" i="9"/>
  <c r="B273" i="9" s="1"/>
  <c r="F262" i="9"/>
  <c r="B270" i="9" s="1"/>
  <c r="F260" i="9"/>
  <c r="B272" i="9" s="1"/>
  <c r="F257" i="9"/>
  <c r="B268" i="9" s="1"/>
  <c r="F259" i="9"/>
  <c r="B271" i="9" s="1"/>
  <c r="P26" i="8"/>
  <c r="I13" i="8"/>
  <c r="I14" i="9" s="1"/>
  <c r="P9" i="8"/>
  <c r="L24" i="8"/>
  <c r="I83" i="9" s="1"/>
  <c r="H2" i="8"/>
  <c r="I2" i="8" s="1"/>
  <c r="I3" i="9" s="1"/>
  <c r="L10" i="8"/>
  <c r="C97" i="9" s="1"/>
  <c r="H17" i="8"/>
  <c r="P18" i="8" s="1"/>
  <c r="H20" i="8"/>
  <c r="I20" i="8" s="1"/>
  <c r="I21" i="9" s="1"/>
  <c r="I21" i="8"/>
  <c r="I22" i="9" s="1"/>
  <c r="H23" i="8"/>
  <c r="P23" i="8" s="1"/>
  <c r="H24" i="8"/>
  <c r="P25" i="8" s="1"/>
  <c r="L25" i="8"/>
  <c r="I84" i="9" s="1"/>
  <c r="J25" i="8"/>
  <c r="J26" i="8"/>
  <c r="J2" i="8"/>
  <c r="J17" i="8"/>
  <c r="J20" i="8"/>
  <c r="K20" i="8" s="1"/>
  <c r="I50" i="9" s="1"/>
  <c r="K21" i="8"/>
  <c r="I51" i="9" s="1"/>
  <c r="P22" i="8"/>
  <c r="J23" i="8"/>
  <c r="L26" i="8"/>
  <c r="I85" i="9" s="1"/>
  <c r="M19" i="8" a="1"/>
  <c r="M19" i="8" s="1"/>
  <c r="N19" i="8" s="1"/>
  <c r="I119" i="9" s="1"/>
  <c r="L21" i="8"/>
  <c r="I80" i="9" s="1"/>
  <c r="H14" i="8"/>
  <c r="P14" i="8" s="1"/>
  <c r="H15" i="8"/>
  <c r="L12" i="8"/>
  <c r="P10" i="8"/>
  <c r="K7" i="7"/>
  <c r="H37" i="9" s="1"/>
  <c r="K17" i="7"/>
  <c r="H47" i="9" s="1"/>
  <c r="K18" i="7"/>
  <c r="H48" i="9" s="1"/>
  <c r="K24" i="7"/>
  <c r="H54" i="9" s="1"/>
  <c r="K9" i="7"/>
  <c r="H39" i="9" s="1"/>
  <c r="K14" i="7"/>
  <c r="H44" i="9" s="1"/>
  <c r="P20" i="7"/>
  <c r="K26" i="7"/>
  <c r="H56" i="9" s="1"/>
  <c r="K10" i="7"/>
  <c r="H40" i="9" s="1"/>
  <c r="K16" i="7"/>
  <c r="H46" i="9" s="1"/>
  <c r="J17" i="6"/>
  <c r="G18" i="9" s="1"/>
  <c r="L10" i="6"/>
  <c r="G40" i="9" s="1"/>
  <c r="L17" i="6"/>
  <c r="G47" i="9" s="1"/>
  <c r="L4" i="6"/>
  <c r="G34" i="9" s="1"/>
  <c r="Q12" i="6"/>
  <c r="L18" i="6"/>
  <c r="G48" i="9" s="1"/>
  <c r="J5" i="6"/>
  <c r="G6" i="9" s="1"/>
  <c r="L12" i="6"/>
  <c r="G42" i="9" s="1"/>
  <c r="Q14" i="6"/>
  <c r="Q17" i="6"/>
  <c r="Q20" i="6"/>
  <c r="Q22" i="6"/>
  <c r="L6" i="6"/>
  <c r="G36" i="9" s="1"/>
  <c r="Q9" i="6"/>
  <c r="L13" i="6"/>
  <c r="G43" i="9" s="1"/>
  <c r="L14" i="6"/>
  <c r="G44" i="9" s="1"/>
  <c r="J16" i="6"/>
  <c r="G17" i="9" s="1"/>
  <c r="L20" i="6"/>
  <c r="G50" i="9" s="1"/>
  <c r="L22" i="6"/>
  <c r="G52" i="9" s="1"/>
  <c r="J24" i="6"/>
  <c r="G25" i="9" s="1"/>
  <c r="L16" i="6"/>
  <c r="G46" i="9" s="1"/>
  <c r="L21" i="6"/>
  <c r="G51" i="9" s="1"/>
  <c r="L24" i="6"/>
  <c r="G54" i="9" s="1"/>
  <c r="J8" i="6"/>
  <c r="G9" i="9" s="1"/>
  <c r="L25" i="6"/>
  <c r="G55" i="9" s="1"/>
  <c r="L26" i="6"/>
  <c r="G56" i="9" s="1"/>
  <c r="L8" i="6"/>
  <c r="G38" i="9" s="1"/>
  <c r="Q11" i="6"/>
  <c r="P13" i="5"/>
  <c r="I24" i="5"/>
  <c r="F25" i="9" s="1"/>
  <c r="I2" i="5"/>
  <c r="F3" i="9" s="1"/>
  <c r="P9" i="5"/>
  <c r="I20" i="5"/>
  <c r="F21" i="9" s="1"/>
  <c r="P5" i="5"/>
  <c r="P6" i="5"/>
  <c r="P9" i="4"/>
  <c r="P20" i="4"/>
  <c r="P21" i="4"/>
  <c r="K8" i="4"/>
  <c r="E38" i="9" s="1"/>
  <c r="P16" i="4"/>
  <c r="P12" i="4"/>
  <c r="I23" i="4"/>
  <c r="E24" i="9" s="1"/>
  <c r="P13" i="4"/>
  <c r="P24" i="4"/>
  <c r="K13" i="4"/>
  <c r="E43" i="9" s="1"/>
  <c r="I2" i="3"/>
  <c r="J2" i="3" s="1"/>
  <c r="D3" i="9" s="1"/>
  <c r="K24" i="2"/>
  <c r="C54" i="9" s="1"/>
  <c r="I18" i="2"/>
  <c r="C19" i="9" s="1"/>
  <c r="P23" i="2"/>
  <c r="P16" i="2"/>
  <c r="K25" i="2"/>
  <c r="C55" i="9" s="1"/>
  <c r="I21" i="2"/>
  <c r="C22" i="9" s="1"/>
  <c r="K10" i="2"/>
  <c r="C40" i="9" s="1"/>
  <c r="K2" i="2"/>
  <c r="C32" i="9" s="1"/>
  <c r="P8" i="2"/>
  <c r="K21" i="2"/>
  <c r="C51" i="9" s="1"/>
  <c r="K23" i="2"/>
  <c r="C53" i="9" s="1"/>
  <c r="K11" i="2"/>
  <c r="C41" i="9" s="1"/>
  <c r="K17" i="2"/>
  <c r="C47" i="9" s="1"/>
  <c r="P22" i="2"/>
  <c r="I24" i="2"/>
  <c r="C25" i="9" s="1"/>
  <c r="K26" i="2"/>
  <c r="C56" i="9" s="1"/>
  <c r="K13" i="2"/>
  <c r="C43" i="9" s="1"/>
  <c r="P13" i="2"/>
  <c r="K15" i="1"/>
  <c r="B45" i="9" s="1"/>
  <c r="P11" i="1"/>
  <c r="P24" i="1"/>
  <c r="P25" i="1"/>
  <c r="P18" i="1"/>
  <c r="I19" i="1"/>
  <c r="B20" i="9" s="1"/>
  <c r="K24" i="1"/>
  <c r="B54" i="9" s="1"/>
  <c r="I2" i="1"/>
  <c r="B3" i="9" s="1"/>
  <c r="P9" i="1"/>
  <c r="P10" i="1"/>
  <c r="P12" i="1"/>
  <c r="P14" i="1"/>
  <c r="P15" i="1"/>
  <c r="P16" i="1"/>
  <c r="K19" i="1"/>
  <c r="B49" i="9" s="1"/>
  <c r="P21" i="1"/>
  <c r="K22" i="1"/>
  <c r="B52" i="9" s="1"/>
  <c r="K23" i="1"/>
  <c r="B53" i="9" s="1"/>
  <c r="E12" i="6"/>
  <c r="P3" i="7"/>
  <c r="I3" i="7"/>
  <c r="H4" i="9" s="1"/>
  <c r="I12" i="2"/>
  <c r="C13" i="9" s="1"/>
  <c r="I15" i="2"/>
  <c r="C16" i="9" s="1"/>
  <c r="K7" i="5"/>
  <c r="F37" i="9" s="1"/>
  <c r="P11" i="5"/>
  <c r="I11" i="5"/>
  <c r="F12" i="9" s="1"/>
  <c r="K21" i="5"/>
  <c r="F51" i="9" s="1"/>
  <c r="B132" i="9"/>
  <c r="K4" i="1"/>
  <c r="B34" i="9" s="1"/>
  <c r="I6" i="1"/>
  <c r="B7" i="9" s="1"/>
  <c r="K12" i="1"/>
  <c r="B42" i="9" s="1"/>
  <c r="I14" i="1"/>
  <c r="B15" i="9" s="1"/>
  <c r="K20" i="1"/>
  <c r="B50" i="9" s="1"/>
  <c r="I22" i="1"/>
  <c r="B23" i="9" s="1"/>
  <c r="I24" i="1"/>
  <c r="B25" i="9" s="1"/>
  <c r="K26" i="1"/>
  <c r="B56" i="9" s="1"/>
  <c r="I4" i="2"/>
  <c r="C5" i="9" s="1"/>
  <c r="P4" i="2"/>
  <c r="B169" i="9" s="1"/>
  <c r="I7" i="2"/>
  <c r="C8" i="9" s="1"/>
  <c r="P6" i="4"/>
  <c r="I6" i="4"/>
  <c r="E7" i="9" s="1"/>
  <c r="P7" i="4"/>
  <c r="K9" i="4"/>
  <c r="E39" i="9" s="1"/>
  <c r="K12" i="4"/>
  <c r="E42" i="9" s="1"/>
  <c r="K23" i="4"/>
  <c r="E53" i="9" s="1"/>
  <c r="P3" i="5"/>
  <c r="I3" i="5"/>
  <c r="F4" i="9" s="1"/>
  <c r="P4" i="5"/>
  <c r="K6" i="5"/>
  <c r="F36" i="9" s="1"/>
  <c r="K9" i="5"/>
  <c r="F39" i="9" s="1"/>
  <c r="K20" i="5"/>
  <c r="F50" i="9" s="1"/>
  <c r="I12" i="7"/>
  <c r="H13" i="9" s="1"/>
  <c r="K14" i="5"/>
  <c r="F44" i="9" s="1"/>
  <c r="I21" i="1"/>
  <c r="B22" i="9" s="1"/>
  <c r="E90" i="9"/>
  <c r="B81" i="9"/>
  <c r="I2" i="2"/>
  <c r="C3" i="9" s="1"/>
  <c r="I3" i="2"/>
  <c r="C4" i="9" s="1"/>
  <c r="P3" i="2"/>
  <c r="I26" i="2"/>
  <c r="C27" i="9" s="1"/>
  <c r="K2" i="4"/>
  <c r="E32" i="9" s="1"/>
  <c r="K3" i="4"/>
  <c r="E33" i="9" s="1"/>
  <c r="K14" i="4"/>
  <c r="E44" i="9" s="1"/>
  <c r="P18" i="4"/>
  <c r="I18" i="4"/>
  <c r="E19" i="9" s="1"/>
  <c r="P19" i="4"/>
  <c r="K21" i="4"/>
  <c r="E51" i="9" s="1"/>
  <c r="K24" i="4"/>
  <c r="E54" i="9" s="1"/>
  <c r="K11" i="5"/>
  <c r="F41" i="9" s="1"/>
  <c r="P15" i="5"/>
  <c r="I15" i="5"/>
  <c r="F16" i="9" s="1"/>
  <c r="P16" i="5"/>
  <c r="K18" i="5"/>
  <c r="F48" i="9" s="1"/>
  <c r="P19" i="5"/>
  <c r="I19" i="5"/>
  <c r="F20" i="9" s="1"/>
  <c r="I17" i="7"/>
  <c r="H18" i="9" s="1"/>
  <c r="I8" i="7"/>
  <c r="H9" i="9" s="1"/>
  <c r="I4" i="7"/>
  <c r="H5" i="9" s="1"/>
  <c r="P14" i="7"/>
  <c r="I14" i="7"/>
  <c r="H15" i="9" s="1"/>
  <c r="L16" i="8"/>
  <c r="I75" i="9" s="1"/>
  <c r="L17" i="8"/>
  <c r="I76" i="9" s="1"/>
  <c r="J16" i="8"/>
  <c r="K16" i="8" s="1"/>
  <c r="I46" i="9" s="1"/>
  <c r="K9" i="1"/>
  <c r="B39" i="9" s="1"/>
  <c r="P8" i="1"/>
  <c r="I16" i="1"/>
  <c r="B17" i="9" s="1"/>
  <c r="K10" i="4"/>
  <c r="E40" i="9" s="1"/>
  <c r="P14" i="4"/>
  <c r="I14" i="4"/>
  <c r="E15" i="9" s="1"/>
  <c r="K17" i="4"/>
  <c r="E47" i="9" s="1"/>
  <c r="P12" i="5"/>
  <c r="K17" i="5"/>
  <c r="F47" i="9" s="1"/>
  <c r="K24" i="5"/>
  <c r="F54" i="9" s="1"/>
  <c r="P5" i="1"/>
  <c r="I13" i="1"/>
  <c r="B14" i="9" s="1"/>
  <c r="I10" i="1"/>
  <c r="B11" i="9" s="1"/>
  <c r="I18" i="1"/>
  <c r="B19" i="9" s="1"/>
  <c r="P23" i="1"/>
  <c r="I23" i="1"/>
  <c r="B24" i="9" s="1"/>
  <c r="I25" i="1"/>
  <c r="B26" i="9" s="1"/>
  <c r="I14" i="2"/>
  <c r="C15" i="9" s="1"/>
  <c r="I17" i="2"/>
  <c r="C18" i="9" s="1"/>
  <c r="I20" i="2"/>
  <c r="C21" i="9" s="1"/>
  <c r="I23" i="2"/>
  <c r="C24" i="9" s="1"/>
  <c r="P4" i="4"/>
  <c r="K7" i="4"/>
  <c r="E37" i="9" s="1"/>
  <c r="K18" i="4"/>
  <c r="E48" i="9" s="1"/>
  <c r="P22" i="4"/>
  <c r="I22" i="4"/>
  <c r="E23" i="9" s="1"/>
  <c r="P23" i="4"/>
  <c r="K25" i="4"/>
  <c r="E55" i="9" s="1"/>
  <c r="K4" i="5"/>
  <c r="F34" i="9" s="1"/>
  <c r="P20" i="5"/>
  <c r="B95" i="9"/>
  <c r="G62" i="9"/>
  <c r="P14" i="6"/>
  <c r="G143" i="9" s="1"/>
  <c r="P15" i="6"/>
  <c r="G144" i="9" s="1"/>
  <c r="I6" i="8"/>
  <c r="I7" i="9" s="1"/>
  <c r="P11" i="8"/>
  <c r="I11" i="8"/>
  <c r="I12" i="9" s="1"/>
  <c r="H16" i="8"/>
  <c r="I9" i="2"/>
  <c r="C10" i="9" s="1"/>
  <c r="P12" i="2"/>
  <c r="I3" i="4"/>
  <c r="E4" i="9" s="1"/>
  <c r="I7" i="1"/>
  <c r="B8" i="9" s="1"/>
  <c r="I15" i="1"/>
  <c r="B16" i="9" s="1"/>
  <c r="I5" i="2"/>
  <c r="C6" i="9" s="1"/>
  <c r="I8" i="2"/>
  <c r="C9" i="9" s="1"/>
  <c r="I11" i="2"/>
  <c r="C12" i="9" s="1"/>
  <c r="K11" i="4"/>
  <c r="E41" i="9" s="1"/>
  <c r="K22" i="4"/>
  <c r="E52" i="9" s="1"/>
  <c r="P26" i="4"/>
  <c r="I26" i="4"/>
  <c r="E27" i="9" s="1"/>
  <c r="F132" i="9"/>
  <c r="K8" i="5"/>
  <c r="F38" i="9" s="1"/>
  <c r="K22" i="5"/>
  <c r="F52" i="9" s="1"/>
  <c r="P23" i="5"/>
  <c r="I23" i="5"/>
  <c r="F24" i="9" s="1"/>
  <c r="D95" i="9"/>
  <c r="G71" i="9"/>
  <c r="I25" i="7"/>
  <c r="H26" i="9" s="1"/>
  <c r="P25" i="7"/>
  <c r="P10" i="4"/>
  <c r="I10" i="4"/>
  <c r="E11" i="9" s="1"/>
  <c r="D93" i="9"/>
  <c r="E71" i="9"/>
  <c r="K26" i="5"/>
  <c r="F56" i="9" s="1"/>
  <c r="K23" i="5"/>
  <c r="F53" i="9" s="1"/>
  <c r="K19" i="5"/>
  <c r="F49" i="9" s="1"/>
  <c r="K15" i="5"/>
  <c r="F45" i="9" s="1"/>
  <c r="K2" i="5"/>
  <c r="F32" i="9" s="1"/>
  <c r="K3" i="5"/>
  <c r="F33" i="9" s="1"/>
  <c r="P7" i="5"/>
  <c r="I7" i="5"/>
  <c r="F8" i="9" s="1"/>
  <c r="K10" i="5"/>
  <c r="F40" i="9" s="1"/>
  <c r="K13" i="5"/>
  <c r="F43" i="9" s="1"/>
  <c r="Q7" i="6"/>
  <c r="J7" i="6"/>
  <c r="G8" i="9" s="1"/>
  <c r="Q8" i="6"/>
  <c r="I4" i="1"/>
  <c r="B5" i="9" s="1"/>
  <c r="K10" i="1"/>
  <c r="B40" i="9" s="1"/>
  <c r="I12" i="1"/>
  <c r="B13" i="9" s="1"/>
  <c r="K18" i="1"/>
  <c r="B48" i="9" s="1"/>
  <c r="I20" i="1"/>
  <c r="B21" i="9" s="1"/>
  <c r="K25" i="1"/>
  <c r="B55" i="9" s="1"/>
  <c r="P26" i="1"/>
  <c r="I22" i="2"/>
  <c r="C23" i="9" s="1"/>
  <c r="I25" i="2"/>
  <c r="C26" i="9" s="1"/>
  <c r="E132" i="9"/>
  <c r="K4" i="4"/>
  <c r="E34" i="9" s="1"/>
  <c r="K15" i="4"/>
  <c r="E45" i="9" s="1"/>
  <c r="K26" i="4"/>
  <c r="E56" i="9" s="1"/>
  <c r="K12" i="5"/>
  <c r="F42" i="9" s="1"/>
  <c r="Q15" i="6"/>
  <c r="J15" i="6"/>
  <c r="G16" i="9" s="1"/>
  <c r="Q23" i="6"/>
  <c r="J23" i="6"/>
  <c r="G24" i="9" s="1"/>
  <c r="Q24" i="6"/>
  <c r="H132" i="9"/>
  <c r="P7" i="7"/>
  <c r="I7" i="7"/>
  <c r="H8" i="9" s="1"/>
  <c r="P8" i="7"/>
  <c r="M14" i="8" a="1"/>
  <c r="M14" i="8" s="1"/>
  <c r="N14" i="8" s="1"/>
  <c r="I114" i="9" s="1"/>
  <c r="D90" i="9"/>
  <c r="B71" i="9"/>
  <c r="K17" i="1"/>
  <c r="B47" i="9" s="1"/>
  <c r="E91" i="9"/>
  <c r="C81" i="9"/>
  <c r="P11" i="4"/>
  <c r="P8" i="5"/>
  <c r="K2" i="1"/>
  <c r="B32" i="9" s="1"/>
  <c r="I6" i="2"/>
  <c r="C7" i="9" s="1"/>
  <c r="C91" i="9"/>
  <c r="C69" i="9"/>
  <c r="K20" i="4"/>
  <c r="E50" i="9" s="1"/>
  <c r="B90" i="9"/>
  <c r="B62" i="9"/>
  <c r="K7" i="1"/>
  <c r="B37" i="9" s="1"/>
  <c r="I9" i="1"/>
  <c r="B10" i="9" s="1"/>
  <c r="C90" i="9"/>
  <c r="B69" i="9"/>
  <c r="I17" i="1"/>
  <c r="B18" i="9" s="1"/>
  <c r="I10" i="2"/>
  <c r="C11" i="9" s="1"/>
  <c r="I13" i="2"/>
  <c r="C14" i="9" s="1"/>
  <c r="I16" i="2"/>
  <c r="C17" i="9" s="1"/>
  <c r="D3" i="3"/>
  <c r="K5" i="4"/>
  <c r="E35" i="9" s="1"/>
  <c r="K19" i="4"/>
  <c r="E49" i="9" s="1"/>
  <c r="K5" i="5"/>
  <c r="F35" i="9" s="1"/>
  <c r="K16" i="5"/>
  <c r="F46" i="9" s="1"/>
  <c r="Q16" i="6"/>
  <c r="I16" i="7"/>
  <c r="H17" i="9" s="1"/>
  <c r="C94" i="9"/>
  <c r="F69" i="9"/>
  <c r="F81" i="9"/>
  <c r="E94" i="9"/>
  <c r="J10" i="6"/>
  <c r="G11" i="9" s="1"/>
  <c r="P17" i="6"/>
  <c r="G146" i="9" s="1"/>
  <c r="J18" i="6"/>
  <c r="G19" i="9" s="1"/>
  <c r="J25" i="6"/>
  <c r="G26" i="9" s="1"/>
  <c r="K4" i="7"/>
  <c r="H34" i="9" s="1"/>
  <c r="K11" i="7"/>
  <c r="H41" i="9" s="1"/>
  <c r="P18" i="7"/>
  <c r="I18" i="7"/>
  <c r="H19" i="9" s="1"/>
  <c r="K20" i="7"/>
  <c r="H50" i="9" s="1"/>
  <c r="P24" i="7"/>
  <c r="I24" i="7"/>
  <c r="H25" i="9" s="1"/>
  <c r="L3" i="8"/>
  <c r="K9" i="8"/>
  <c r="I39" i="9" s="1"/>
  <c r="K14" i="8"/>
  <c r="I44" i="9" s="1"/>
  <c r="P15" i="8"/>
  <c r="I15" i="8"/>
  <c r="I16" i="9" s="1"/>
  <c r="M18" i="8" a="1"/>
  <c r="M18" i="8" s="1"/>
  <c r="N18" i="8" s="1"/>
  <c r="I118" i="9" s="1"/>
  <c r="P20" i="8"/>
  <c r="M23" i="8" a="1"/>
  <c r="M23" i="8" s="1"/>
  <c r="N23" i="8" s="1"/>
  <c r="I123" i="9" s="1"/>
  <c r="K25" i="8"/>
  <c r="I55" i="9" s="1"/>
  <c r="C132" i="9"/>
  <c r="C95" i="9"/>
  <c r="G69" i="9"/>
  <c r="P19" i="7"/>
  <c r="I19" i="7"/>
  <c r="H20" i="9" s="1"/>
  <c r="K21" i="7"/>
  <c r="H51" i="9" s="1"/>
  <c r="I17" i="8"/>
  <c r="I18" i="9" s="1"/>
  <c r="I69" i="9"/>
  <c r="B93" i="9"/>
  <c r="E62" i="9"/>
  <c r="D94" i="9"/>
  <c r="F71" i="9"/>
  <c r="J2" i="6"/>
  <c r="G3" i="9" s="1"/>
  <c r="J6" i="6"/>
  <c r="G7" i="9" s="1"/>
  <c r="J14" i="6"/>
  <c r="G15" i="9" s="1"/>
  <c r="E19" i="6"/>
  <c r="J22" i="6"/>
  <c r="G23" i="9" s="1"/>
  <c r="P10" i="7"/>
  <c r="I10" i="7"/>
  <c r="H11" i="9" s="1"/>
  <c r="K12" i="7"/>
  <c r="H42" i="9" s="1"/>
  <c r="K19" i="7"/>
  <c r="H49" i="9" s="1"/>
  <c r="P22" i="7"/>
  <c r="I22" i="7"/>
  <c r="H23" i="9" s="1"/>
  <c r="K25" i="7"/>
  <c r="H55" i="9" s="1"/>
  <c r="M10" i="8" a="1"/>
  <c r="M10" i="8" s="1"/>
  <c r="N10" i="8" s="1"/>
  <c r="I110" i="9" s="1"/>
  <c r="H12" i="8"/>
  <c r="K17" i="8"/>
  <c r="I47" i="9" s="1"/>
  <c r="K22" i="8"/>
  <c r="I52" i="9" s="1"/>
  <c r="I23" i="8"/>
  <c r="I24" i="9" s="1"/>
  <c r="D91" i="9"/>
  <c r="C71" i="9"/>
  <c r="I5" i="4"/>
  <c r="E6" i="9" s="1"/>
  <c r="I9" i="4"/>
  <c r="E10" i="9" s="1"/>
  <c r="I13" i="4"/>
  <c r="E14" i="9" s="1"/>
  <c r="I17" i="4"/>
  <c r="E18" i="9" s="1"/>
  <c r="I21" i="4"/>
  <c r="E22" i="9" s="1"/>
  <c r="I25" i="4"/>
  <c r="E26" i="9" s="1"/>
  <c r="I6" i="5"/>
  <c r="F7" i="9" s="1"/>
  <c r="I10" i="5"/>
  <c r="F11" i="9" s="1"/>
  <c r="I14" i="5"/>
  <c r="F15" i="9" s="1"/>
  <c r="P14" i="5"/>
  <c r="I18" i="5"/>
  <c r="F19" i="9" s="1"/>
  <c r="P18" i="5"/>
  <c r="I22" i="5"/>
  <c r="F23" i="9" s="1"/>
  <c r="P22" i="5"/>
  <c r="I26" i="5"/>
  <c r="F27" i="9" s="1"/>
  <c r="Q5" i="6"/>
  <c r="L7" i="6"/>
  <c r="G37" i="9" s="1"/>
  <c r="J13" i="6"/>
  <c r="G14" i="9" s="1"/>
  <c r="Q13" i="6"/>
  <c r="L15" i="6"/>
  <c r="G45" i="9" s="1"/>
  <c r="J21" i="6"/>
  <c r="G22" i="9" s="1"/>
  <c r="Q21" i="6"/>
  <c r="L23" i="6"/>
  <c r="G53" i="9" s="1"/>
  <c r="Q26" i="6"/>
  <c r="J26" i="6"/>
  <c r="G27" i="9" s="1"/>
  <c r="B96" i="9"/>
  <c r="P4" i="7"/>
  <c r="K5" i="7"/>
  <c r="H35" i="9" s="1"/>
  <c r="D96" i="9"/>
  <c r="P13" i="7"/>
  <c r="P15" i="7"/>
  <c r="I15" i="7"/>
  <c r="H16" i="9" s="1"/>
  <c r="P26" i="7"/>
  <c r="I26" i="7"/>
  <c r="H27" i="9" s="1"/>
  <c r="J3" i="8"/>
  <c r="K3" i="8" s="1"/>
  <c r="I33" i="9" s="1"/>
  <c r="M9" i="8" a="1"/>
  <c r="M9" i="8" s="1"/>
  <c r="N9" i="8" s="1"/>
  <c r="I109" i="9" s="1"/>
  <c r="H3" i="8"/>
  <c r="M26" i="8" a="1"/>
  <c r="M26" i="8" s="1"/>
  <c r="N26" i="8" s="1"/>
  <c r="I126" i="9" s="1"/>
  <c r="M8" i="8" a="1"/>
  <c r="M8" i="8" s="1"/>
  <c r="N8" i="8" s="1"/>
  <c r="I108" i="9" s="1"/>
  <c r="L8" i="8"/>
  <c r="I67" i="9" s="1"/>
  <c r="I81" i="9"/>
  <c r="K23" i="8"/>
  <c r="I53" i="9" s="1"/>
  <c r="C93" i="9"/>
  <c r="E69" i="9"/>
  <c r="E93" i="9"/>
  <c r="E81" i="9"/>
  <c r="F62" i="9"/>
  <c r="B94" i="9"/>
  <c r="L2" i="6"/>
  <c r="G32" i="9" s="1"/>
  <c r="J4" i="6"/>
  <c r="G5" i="9" s="1"/>
  <c r="J12" i="6"/>
  <c r="G13" i="9" s="1"/>
  <c r="J20" i="6"/>
  <c r="G21" i="9" s="1"/>
  <c r="P6" i="7"/>
  <c r="I6" i="7"/>
  <c r="H7" i="9" s="1"/>
  <c r="K15" i="7"/>
  <c r="H45" i="9" s="1"/>
  <c r="K22" i="7"/>
  <c r="H52" i="9" s="1"/>
  <c r="P23" i="7"/>
  <c r="I23" i="7"/>
  <c r="H24" i="9" s="1"/>
  <c r="M6" i="8" a="1"/>
  <c r="M6" i="8" s="1"/>
  <c r="N6" i="8" s="1"/>
  <c r="I106" i="9" s="1"/>
  <c r="L4" i="8"/>
  <c r="I63" i="9" s="1"/>
  <c r="J4" i="8"/>
  <c r="K4" i="8" s="1"/>
  <c r="I34" i="9" s="1"/>
  <c r="J7" i="8"/>
  <c r="K7" i="8" s="1"/>
  <c r="I37" i="9" s="1"/>
  <c r="H7" i="8"/>
  <c r="P8" i="8"/>
  <c r="I8" i="8"/>
  <c r="I9" i="9" s="1"/>
  <c r="M11" i="8" a="1"/>
  <c r="M11" i="8" s="1"/>
  <c r="N11" i="8" s="1"/>
  <c r="I111" i="9" s="1"/>
  <c r="P19" i="8"/>
  <c r="I19" i="8"/>
  <c r="I20" i="9" s="1"/>
  <c r="M22" i="8" a="1"/>
  <c r="M22" i="8" s="1"/>
  <c r="N22" i="8" s="1"/>
  <c r="I122" i="9" s="1"/>
  <c r="P24" i="8"/>
  <c r="I24" i="8"/>
  <c r="I25" i="9" s="1"/>
  <c r="H71" i="9"/>
  <c r="B91" i="9"/>
  <c r="C62" i="9"/>
  <c r="D132" i="9"/>
  <c r="I4" i="4"/>
  <c r="E5" i="9" s="1"/>
  <c r="I8" i="4"/>
  <c r="E9" i="9" s="1"/>
  <c r="I12" i="4"/>
  <c r="E13" i="9" s="1"/>
  <c r="I16" i="4"/>
  <c r="E17" i="9" s="1"/>
  <c r="I20" i="4"/>
  <c r="E21" i="9" s="1"/>
  <c r="I24" i="4"/>
  <c r="E25" i="9" s="1"/>
  <c r="I5" i="5"/>
  <c r="F6" i="9" s="1"/>
  <c r="I9" i="5"/>
  <c r="F10" i="9" s="1"/>
  <c r="I13" i="5"/>
  <c r="F14" i="9" s="1"/>
  <c r="I17" i="5"/>
  <c r="F18" i="9" s="1"/>
  <c r="I21" i="5"/>
  <c r="F22" i="9" s="1"/>
  <c r="J3" i="6"/>
  <c r="G4" i="9" s="1"/>
  <c r="J11" i="6"/>
  <c r="G12" i="9" s="1"/>
  <c r="J19" i="6"/>
  <c r="G20" i="9" s="1"/>
  <c r="E95" i="9"/>
  <c r="G81" i="9"/>
  <c r="C96" i="9"/>
  <c r="P11" i="7"/>
  <c r="I11" i="7"/>
  <c r="H12" i="9" s="1"/>
  <c r="I20" i="7"/>
  <c r="H21" i="9" s="1"/>
  <c r="H81" i="9"/>
  <c r="E96" i="9"/>
  <c r="K23" i="7"/>
  <c r="H53" i="9" s="1"/>
  <c r="H4" i="8"/>
  <c r="J5" i="8"/>
  <c r="K5" i="8" s="1"/>
  <c r="I35" i="9" s="1"/>
  <c r="H5" i="8"/>
  <c r="P6" i="8" s="1"/>
  <c r="L6" i="8"/>
  <c r="I65" i="9" s="1"/>
  <c r="J6" i="8"/>
  <c r="K6" i="8" s="1"/>
  <c r="I36" i="9" s="1"/>
  <c r="L7" i="8"/>
  <c r="I66" i="9" s="1"/>
  <c r="J8" i="8"/>
  <c r="K8" i="8" s="1"/>
  <c r="I38" i="9" s="1"/>
  <c r="I9" i="8"/>
  <c r="I10" i="9" s="1"/>
  <c r="L13" i="8"/>
  <c r="I72" i="9" s="1"/>
  <c r="N15" i="8"/>
  <c r="I115" i="9" s="1"/>
  <c r="K19" i="8"/>
  <c r="I49" i="9" s="1"/>
  <c r="J24" i="8"/>
  <c r="K24" i="8" s="1"/>
  <c r="I54" i="9" s="1"/>
  <c r="I25" i="8"/>
  <c r="I26" i="9" s="1"/>
  <c r="I71" i="9"/>
  <c r="M12" i="8" a="1"/>
  <c r="M12" i="8" s="1"/>
  <c r="N12" i="8" s="1"/>
  <c r="I112" i="9" s="1"/>
  <c r="M16" i="8" a="1"/>
  <c r="M16" i="8" s="1"/>
  <c r="N16" i="8" s="1"/>
  <c r="I116" i="9" s="1"/>
  <c r="M20" i="8" a="1"/>
  <c r="M20" i="8" s="1"/>
  <c r="N20" i="8" s="1"/>
  <c r="I120" i="9" s="1"/>
  <c r="M24" i="8" a="1"/>
  <c r="M24" i="8" s="1"/>
  <c r="N24" i="8" s="1"/>
  <c r="I124" i="9" s="1"/>
  <c r="M3" i="8" a="1"/>
  <c r="M3" i="8" s="1"/>
  <c r="N3" i="8" s="1"/>
  <c r="I103" i="9" s="1"/>
  <c r="M5" i="8" a="1"/>
  <c r="M5" i="8" s="1"/>
  <c r="N5" i="8" s="1"/>
  <c r="I105" i="9" s="1"/>
  <c r="M7" i="8" a="1"/>
  <c r="M7" i="8" s="1"/>
  <c r="N7" i="8" s="1"/>
  <c r="I107" i="9" s="1"/>
  <c r="I132" i="9"/>
  <c r="M13" i="8" a="1"/>
  <c r="M13" i="8" s="1"/>
  <c r="N13" i="8" s="1"/>
  <c r="I113" i="9" s="1"/>
  <c r="M17" i="8" a="1"/>
  <c r="M17" i="8" s="1"/>
  <c r="N17" i="8" s="1"/>
  <c r="I117" i="9" s="1"/>
  <c r="M21" i="8" a="1"/>
  <c r="M21" i="8" s="1"/>
  <c r="N21" i="8" s="1"/>
  <c r="I121" i="9" s="1"/>
  <c r="M25" i="8" a="1"/>
  <c r="M25" i="8" s="1"/>
  <c r="N25" i="8" s="1"/>
  <c r="I125" i="9" s="1"/>
  <c r="M4" i="8" a="1"/>
  <c r="M4" i="8" s="1"/>
  <c r="N4" i="8" s="1"/>
  <c r="I104" i="9" s="1"/>
  <c r="I10" i="8"/>
  <c r="I11" i="9" s="1"/>
  <c r="I14" i="8"/>
  <c r="I15" i="9" s="1"/>
  <c r="I18" i="8"/>
  <c r="I19" i="9" s="1"/>
  <c r="I22" i="8"/>
  <c r="I23" i="9" s="1"/>
  <c r="I26" i="8"/>
  <c r="I27" i="9" s="1"/>
  <c r="E97" i="9" l="1"/>
  <c r="K2" i="8"/>
  <c r="I32" i="9" s="1"/>
  <c r="K18" i="8"/>
  <c r="I48" i="9" s="1"/>
  <c r="K10" i="8"/>
  <c r="I40" i="9" s="1"/>
  <c r="K26" i="8"/>
  <c r="I56" i="9" s="1"/>
  <c r="P21" i="8"/>
  <c r="K13" i="8"/>
  <c r="I43" i="9" s="1"/>
  <c r="K15" i="8"/>
  <c r="I45" i="9" s="1"/>
  <c r="K12" i="8"/>
  <c r="I42" i="9" s="1"/>
  <c r="K11" i="8"/>
  <c r="I41" i="9" s="1"/>
  <c r="B174" i="9"/>
  <c r="B172" i="9"/>
  <c r="B171" i="9"/>
  <c r="B168" i="9"/>
  <c r="P19" i="6"/>
  <c r="G148" i="9" s="1"/>
  <c r="E20" i="6"/>
  <c r="I3" i="8"/>
  <c r="I4" i="9" s="1"/>
  <c r="P3" i="8"/>
  <c r="I3" i="3"/>
  <c r="M3" i="3"/>
  <c r="D4" i="3"/>
  <c r="K3" i="3"/>
  <c r="L3" i="3" s="1"/>
  <c r="D33" i="9" s="1"/>
  <c r="P7" i="8"/>
  <c r="I7" i="8"/>
  <c r="I8" i="9" s="1"/>
  <c r="P5" i="8"/>
  <c r="I5" i="8"/>
  <c r="I6" i="9" s="1"/>
  <c r="D97" i="9"/>
  <c r="E11" i="6"/>
  <c r="P12" i="8"/>
  <c r="I12" i="8"/>
  <c r="I13" i="9" s="1"/>
  <c r="P13" i="8"/>
  <c r="P16" i="8"/>
  <c r="I16" i="8"/>
  <c r="I17" i="9" s="1"/>
  <c r="P17" i="8"/>
  <c r="P13" i="6"/>
  <c r="G142" i="9" s="1"/>
  <c r="P4" i="8"/>
  <c r="I4" i="8"/>
  <c r="I5" i="9" s="1"/>
  <c r="B97" i="9"/>
  <c r="I62" i="9"/>
  <c r="D62" i="9" l="1"/>
  <c r="B175" i="9"/>
  <c r="E10" i="6"/>
  <c r="Q3" i="3"/>
  <c r="J3" i="3"/>
  <c r="D4" i="9" s="1"/>
  <c r="P20" i="6"/>
  <c r="G149" i="9" s="1"/>
  <c r="E21" i="6"/>
  <c r="P12" i="6"/>
  <c r="G141" i="9" s="1"/>
  <c r="D5" i="3"/>
  <c r="M4" i="3"/>
  <c r="D63" i="9" s="1"/>
  <c r="K4" i="3"/>
  <c r="L4" i="3" s="1"/>
  <c r="D34" i="9" s="1"/>
  <c r="I4" i="3"/>
  <c r="Q4" i="3" l="1"/>
  <c r="J4" i="3"/>
  <c r="D5" i="9" s="1"/>
  <c r="E9" i="6"/>
  <c r="K5" i="3"/>
  <c r="L5" i="3" s="1"/>
  <c r="D35" i="9" s="1"/>
  <c r="I5" i="3"/>
  <c r="D6" i="3"/>
  <c r="M5" i="3"/>
  <c r="D64" i="9" s="1"/>
  <c r="P11" i="6"/>
  <c r="G140" i="9" s="1"/>
  <c r="P21" i="6"/>
  <c r="G150" i="9" s="1"/>
  <c r="E22" i="6"/>
  <c r="E8" i="6" l="1"/>
  <c r="P9" i="6"/>
  <c r="G138" i="9" s="1"/>
  <c r="J5" i="3"/>
  <c r="D6" i="9" s="1"/>
  <c r="Q5" i="3"/>
  <c r="P10" i="6"/>
  <c r="G139" i="9" s="1"/>
  <c r="P22" i="6"/>
  <c r="G151" i="9" s="1"/>
  <c r="E23" i="6"/>
  <c r="M6" i="3"/>
  <c r="D7" i="3"/>
  <c r="K6" i="3"/>
  <c r="L6" i="3" s="1"/>
  <c r="D36" i="9" s="1"/>
  <c r="I6" i="3"/>
  <c r="E24" i="6" l="1"/>
  <c r="P23" i="6"/>
  <c r="G152" i="9" s="1"/>
  <c r="Q6" i="3"/>
  <c r="J6" i="3"/>
  <c r="D7" i="9" s="1"/>
  <c r="M7" i="3"/>
  <c r="D66" i="9" s="1"/>
  <c r="K7" i="3"/>
  <c r="L7" i="3" s="1"/>
  <c r="D37" i="9" s="1"/>
  <c r="I7" i="3"/>
  <c r="D8" i="3"/>
  <c r="D65" i="9"/>
  <c r="E7" i="6"/>
  <c r="P8" i="6"/>
  <c r="G137" i="9" s="1"/>
  <c r="J7" i="3" l="1"/>
  <c r="D8" i="9" s="1"/>
  <c r="Q7" i="3"/>
  <c r="E6" i="6"/>
  <c r="D9" i="3"/>
  <c r="K8" i="3"/>
  <c r="L8" i="3" s="1"/>
  <c r="D38" i="9" s="1"/>
  <c r="M8" i="3"/>
  <c r="D67" i="9" s="1"/>
  <c r="I8" i="3"/>
  <c r="E25" i="6"/>
  <c r="P24" i="6"/>
  <c r="G153" i="9" s="1"/>
  <c r="P25" i="6" l="1"/>
  <c r="G154" i="9" s="1"/>
  <c r="E26" i="6"/>
  <c r="P26" i="6" s="1"/>
  <c r="G155" i="9" s="1"/>
  <c r="M9" i="3"/>
  <c r="K9" i="3"/>
  <c r="L9" i="3" s="1"/>
  <c r="D39" i="9" s="1"/>
  <c r="D10" i="3"/>
  <c r="I9" i="3"/>
  <c r="E5" i="6"/>
  <c r="P7" i="6"/>
  <c r="G136" i="9" s="1"/>
  <c r="Q8" i="3"/>
  <c r="J8" i="3"/>
  <c r="D9" i="9" s="1"/>
  <c r="D11" i="3" l="1"/>
  <c r="K10" i="3"/>
  <c r="L10" i="3" s="1"/>
  <c r="D40" i="9" s="1"/>
  <c r="I10" i="3"/>
  <c r="M10" i="3"/>
  <c r="D68" i="9"/>
  <c r="B92" i="9"/>
  <c r="E4" i="6"/>
  <c r="P6" i="6"/>
  <c r="G135" i="9" s="1"/>
  <c r="J9" i="3"/>
  <c r="D10" i="9" s="1"/>
  <c r="Q9" i="3"/>
  <c r="J10" i="3" l="1"/>
  <c r="D11" i="9" s="1"/>
  <c r="Q10" i="3"/>
  <c r="E3" i="6"/>
  <c r="P4" i="6" s="1"/>
  <c r="G133" i="9" s="1"/>
  <c r="I11" i="3"/>
  <c r="M11" i="3"/>
  <c r="D70" i="9" s="1"/>
  <c r="K11" i="3"/>
  <c r="L11" i="3" s="1"/>
  <c r="D41" i="9" s="1"/>
  <c r="D12" i="3"/>
  <c r="C92" i="9"/>
  <c r="D69" i="9"/>
  <c r="P5" i="6"/>
  <c r="G134" i="9" s="1"/>
  <c r="Q11" i="3" l="1"/>
  <c r="J11" i="3"/>
  <c r="D12" i="9" s="1"/>
  <c r="E2" i="6"/>
  <c r="P3" i="6" s="1"/>
  <c r="D13" i="3"/>
  <c r="M12" i="3"/>
  <c r="K12" i="3"/>
  <c r="L12" i="3" s="1"/>
  <c r="D42" i="9" s="1"/>
  <c r="I12" i="3"/>
  <c r="B173" i="9" l="1"/>
  <c r="G132" i="9"/>
  <c r="D71" i="9"/>
  <c r="K13" i="3"/>
  <c r="L13" i="3" s="1"/>
  <c r="D43" i="9" s="1"/>
  <c r="I13" i="3"/>
  <c r="D14" i="3"/>
  <c r="M13" i="3"/>
  <c r="D72" i="9" s="1"/>
  <c r="Q12" i="3"/>
  <c r="J12" i="3"/>
  <c r="D13" i="9" s="1"/>
  <c r="I14" i="3" l="1"/>
  <c r="D15" i="3"/>
  <c r="M14" i="3"/>
  <c r="D73" i="9" s="1"/>
  <c r="K14" i="3"/>
  <c r="L14" i="3" s="1"/>
  <c r="D44" i="9" s="1"/>
  <c r="J13" i="3"/>
  <c r="D14" i="9" s="1"/>
  <c r="Q13" i="3"/>
  <c r="M15" i="3" l="1"/>
  <c r="K15" i="3"/>
  <c r="L15" i="3" s="1"/>
  <c r="D45" i="9" s="1"/>
  <c r="I15" i="3"/>
  <c r="D16" i="3"/>
  <c r="Q14" i="3"/>
  <c r="J14" i="3"/>
  <c r="D15" i="9" s="1"/>
  <c r="D17" i="3" l="1"/>
  <c r="I16" i="3"/>
  <c r="M16" i="3"/>
  <c r="D75" i="9" s="1"/>
  <c r="K16" i="3"/>
  <c r="L16" i="3" s="1"/>
  <c r="D46" i="9" s="1"/>
  <c r="Q15" i="3"/>
  <c r="J15" i="3"/>
  <c r="D16" i="9" s="1"/>
  <c r="D74" i="9"/>
  <c r="Q16" i="3" l="1"/>
  <c r="J16" i="3"/>
  <c r="D17" i="9" s="1"/>
  <c r="M17" i="3"/>
  <c r="D76" i="9" s="1"/>
  <c r="K17" i="3"/>
  <c r="L17" i="3" s="1"/>
  <c r="D47" i="9" s="1"/>
  <c r="D18" i="3"/>
  <c r="I17" i="3"/>
  <c r="D19" i="3" l="1"/>
  <c r="M18" i="3"/>
  <c r="D77" i="9" s="1"/>
  <c r="K18" i="3"/>
  <c r="L18" i="3" s="1"/>
  <c r="D48" i="9" s="1"/>
  <c r="I18" i="3"/>
  <c r="Q17" i="3"/>
  <c r="J17" i="3"/>
  <c r="D18" i="9" s="1"/>
  <c r="J18" i="3" l="1"/>
  <c r="D19" i="9" s="1"/>
  <c r="Q18" i="3"/>
  <c r="I19" i="3"/>
  <c r="M19" i="3"/>
  <c r="D78" i="9" s="1"/>
  <c r="D20" i="3"/>
  <c r="K19" i="3"/>
  <c r="L19" i="3" s="1"/>
  <c r="D49" i="9" s="1"/>
  <c r="D21" i="3" l="1"/>
  <c r="M20" i="3"/>
  <c r="D79" i="9" s="1"/>
  <c r="I20" i="3"/>
  <c r="K20" i="3"/>
  <c r="L20" i="3" s="1"/>
  <c r="D50" i="9" s="1"/>
  <c r="J19" i="3"/>
  <c r="D20" i="9" s="1"/>
  <c r="Q19" i="3"/>
  <c r="Q20" i="3" l="1"/>
  <c r="J20" i="3"/>
  <c r="D21" i="9" s="1"/>
  <c r="K21" i="3"/>
  <c r="L21" i="3" s="1"/>
  <c r="D51" i="9" s="1"/>
  <c r="I21" i="3"/>
  <c r="M21" i="3"/>
  <c r="D22" i="3"/>
  <c r="D80" i="9" l="1"/>
  <c r="D92" i="9"/>
  <c r="I22" i="3"/>
  <c r="M22" i="3"/>
  <c r="D23" i="3"/>
  <c r="K22" i="3"/>
  <c r="L22" i="3" s="1"/>
  <c r="D52" i="9" s="1"/>
  <c r="J21" i="3"/>
  <c r="D22" i="9" s="1"/>
  <c r="Q21" i="3"/>
  <c r="M23" i="3" l="1"/>
  <c r="D82" i="9" s="1"/>
  <c r="K23" i="3"/>
  <c r="L23" i="3" s="1"/>
  <c r="D53" i="9" s="1"/>
  <c r="I23" i="3"/>
  <c r="D24" i="3"/>
  <c r="D81" i="9"/>
  <c r="Q22" i="3"/>
  <c r="J22" i="3"/>
  <c r="D23" i="9" s="1"/>
  <c r="D25" i="3" l="1"/>
  <c r="M24" i="3"/>
  <c r="K24" i="3"/>
  <c r="L24" i="3" s="1"/>
  <c r="D54" i="9" s="1"/>
  <c r="I24" i="3"/>
  <c r="Q23" i="3"/>
  <c r="J23" i="3"/>
  <c r="D24" i="9" s="1"/>
  <c r="Q24" i="3" l="1"/>
  <c r="J24" i="3"/>
  <c r="D25" i="9" s="1"/>
  <c r="D83" i="9"/>
  <c r="D26" i="3"/>
  <c r="M25" i="3"/>
  <c r="D84" i="9" s="1"/>
  <c r="K25" i="3"/>
  <c r="L25" i="3" s="1"/>
  <c r="D55" i="9" s="1"/>
  <c r="I25" i="3"/>
  <c r="M26" i="3" l="1"/>
  <c r="D85" i="9" s="1"/>
  <c r="K26" i="3"/>
  <c r="L26" i="3" s="1"/>
  <c r="D56" i="9" s="1"/>
  <c r="I26" i="3"/>
  <c r="N9" i="3" a="1"/>
  <c r="N9" i="3" s="1"/>
  <c r="O9" i="3" s="1"/>
  <c r="D109" i="9" s="1"/>
  <c r="N14" i="3" a="1"/>
  <c r="N14" i="3" s="1"/>
  <c r="O14" i="3" s="1"/>
  <c r="D114" i="9" s="1"/>
  <c r="N7" i="3" a="1"/>
  <c r="N7" i="3" s="1"/>
  <c r="O7" i="3" s="1"/>
  <c r="D107" i="9" s="1"/>
  <c r="N13" i="3" a="1"/>
  <c r="N13" i="3" s="1"/>
  <c r="O13" i="3" s="1"/>
  <c r="D113" i="9" s="1"/>
  <c r="N5" i="3" a="1"/>
  <c r="N5" i="3" s="1"/>
  <c r="O5" i="3" s="1"/>
  <c r="D105" i="9" s="1"/>
  <c r="N20" i="3" a="1"/>
  <c r="N20" i="3" s="1"/>
  <c r="O20" i="3" s="1"/>
  <c r="D120" i="9" s="1"/>
  <c r="N12" i="3" a="1"/>
  <c r="N12" i="3" s="1"/>
  <c r="O12" i="3" s="1"/>
  <c r="D112" i="9" s="1"/>
  <c r="N4" i="3" a="1"/>
  <c r="N4" i="3" s="1"/>
  <c r="O4" i="3" s="1"/>
  <c r="D104" i="9" s="1"/>
  <c r="N18" i="3" a="1"/>
  <c r="N18" i="3" s="1"/>
  <c r="O18" i="3" s="1"/>
  <c r="D118" i="9" s="1"/>
  <c r="N19" i="3" a="1"/>
  <c r="N19" i="3" s="1"/>
  <c r="O19" i="3" s="1"/>
  <c r="D119" i="9" s="1"/>
  <c r="N15" i="3" a="1"/>
  <c r="N15" i="3" s="1"/>
  <c r="O15" i="3" s="1"/>
  <c r="D115" i="9" s="1"/>
  <c r="N21" i="3" a="1"/>
  <c r="N21" i="3" s="1"/>
  <c r="O21" i="3" s="1"/>
  <c r="D121" i="9" s="1"/>
  <c r="N11" i="3" a="1"/>
  <c r="N11" i="3" s="1"/>
  <c r="O11" i="3" s="1"/>
  <c r="D111" i="9" s="1"/>
  <c r="N26" i="3" a="1"/>
  <c r="N26" i="3" s="1"/>
  <c r="O26" i="3" s="1"/>
  <c r="D126" i="9" s="1"/>
  <c r="N3" i="3" a="1"/>
  <c r="N3" i="3" s="1"/>
  <c r="O3" i="3" s="1"/>
  <c r="D103" i="9" s="1"/>
  <c r="N17" i="3" a="1"/>
  <c r="N17" i="3" s="1"/>
  <c r="O17" i="3" s="1"/>
  <c r="D117" i="9" s="1"/>
  <c r="N25" i="3" a="1"/>
  <c r="N25" i="3" s="1"/>
  <c r="O25" i="3" s="1"/>
  <c r="D125" i="9" s="1"/>
  <c r="N8" i="3" a="1"/>
  <c r="N8" i="3" s="1"/>
  <c r="O8" i="3" s="1"/>
  <c r="D108" i="9" s="1"/>
  <c r="N22" i="3" a="1"/>
  <c r="N22" i="3" s="1"/>
  <c r="O22" i="3" s="1"/>
  <c r="D122" i="9" s="1"/>
  <c r="N6" i="3" a="1"/>
  <c r="N6" i="3" s="1"/>
  <c r="O6" i="3" s="1"/>
  <c r="D106" i="9" s="1"/>
  <c r="N10" i="3" a="1"/>
  <c r="N10" i="3" s="1"/>
  <c r="O10" i="3" s="1"/>
  <c r="D110" i="9" s="1"/>
  <c r="N16" i="3" a="1"/>
  <c r="N16" i="3" s="1"/>
  <c r="O16" i="3" s="1"/>
  <c r="D116" i="9" s="1"/>
  <c r="N23" i="3" a="1"/>
  <c r="N23" i="3" s="1"/>
  <c r="O23" i="3" s="1"/>
  <c r="D123" i="9" s="1"/>
  <c r="N24" i="3" a="1"/>
  <c r="N24" i="3" s="1"/>
  <c r="O24" i="3" s="1"/>
  <c r="D124" i="9" s="1"/>
  <c r="N2" i="3" a="1"/>
  <c r="N2" i="3" s="1"/>
  <c r="O2" i="3" s="1"/>
  <c r="D102" i="9" s="1"/>
  <c r="E92" i="9"/>
  <c r="J25" i="3"/>
  <c r="D26" i="9" s="1"/>
  <c r="Q25" i="3"/>
  <c r="J26" i="3" l="1"/>
  <c r="D27" i="9" s="1"/>
  <c r="Q26" i="3"/>
  <c r="B170" i="9" s="1"/>
</calcChain>
</file>

<file path=xl/sharedStrings.xml><?xml version="1.0" encoding="utf-8"?>
<sst xmlns="http://schemas.openxmlformats.org/spreadsheetml/2006/main" count="988" uniqueCount="263">
  <si>
    <t>Year</t>
  </si>
  <si>
    <t>Unemployment rate</t>
  </si>
  <si>
    <t>Nominal GDP</t>
  </si>
  <si>
    <t>Real GDP</t>
  </si>
  <si>
    <t>CPI ( base = 1982-84)</t>
  </si>
  <si>
    <t>Population (thousands)</t>
  </si>
  <si>
    <t>GDP Deflator</t>
  </si>
  <si>
    <t>GDP Deflator Index (2000=100)</t>
  </si>
  <si>
    <t>Real GDP per Capita (USD/person)</t>
  </si>
  <si>
    <t>Real GDP per Capita Index (2000=100)</t>
  </si>
  <si>
    <t>Real GDP Growth (%)</t>
  </si>
  <si>
    <t>Potential GDP (Linear Trend)</t>
  </si>
  <si>
    <t>Output Gap (%)</t>
  </si>
  <si>
    <t>CPI Inflation Rate (%)</t>
  </si>
  <si>
    <t>GDP Deflator Inflation Rate (%)</t>
  </si>
  <si>
    <t>Change in Unemployment Rate (pp)</t>
  </si>
  <si>
    <t>Average Unemployment Rate (%)</t>
  </si>
  <si>
    <t>Unemployment Gap (pp)</t>
  </si>
  <si>
    <t>Data Sources</t>
  </si>
  <si>
    <t>FRED `UNRATE`</t>
  </si>
  <si>
    <t>FRED `GDP`</t>
  </si>
  <si>
    <t>FRED `GDPC1`</t>
  </si>
  <si>
    <t>FRED `CPIAUCSL`</t>
  </si>
  <si>
    <t>FRED `POPTHM`</t>
  </si>
  <si>
    <t>Excel formula</t>
  </si>
  <si>
    <t>Nominal GDP / Real GDP × 100</t>
  </si>
  <si>
    <t>GDP Deflator / GDP Deflator in 2000 × 100</t>
  </si>
  <si>
    <t>(Real GDP × 1,000,000,000) / (Population × 1,000)</t>
  </si>
  <si>
    <t>Real GDP per Capita / 2000 value × 100</t>
  </si>
  <si>
    <t>(Real GDP_t − Real GDP_t−1) / Real GDP_t−1 × 100</t>
  </si>
  <si>
    <t>TREND(Real GDP 2000–2024, time 2000–2024)</t>
  </si>
  <si>
    <t>(Actual Real GDP − Potential GDP) / Potential GDP × 100</t>
  </si>
  <si>
    <t>(CPI_t − CPI_t−1) / CPI_t−1 × 100</t>
  </si>
  <si>
    <t>(Deflator_t − Deflator_t−1) / Deflator_t−1 × 100</t>
  </si>
  <si>
    <t>Unemployment_t − Unemployment_t−1</t>
  </si>
  <si>
    <t>AVERAGE(Unemployment, 2000–2024)</t>
  </si>
  <si>
    <t>Actual unemployment − full-sample average</t>
  </si>
  <si>
    <t>sample period</t>
  </si>
  <si>
    <t>2000–2024</t>
  </si>
  <si>
    <t>valid</t>
  </si>
  <si>
    <t>2001–2024</t>
  </si>
  <si>
    <t>type</t>
  </si>
  <si>
    <t>Monthly unemployment rate (%)</t>
  </si>
  <si>
    <t>Quarterly GDP, SAAR</t>
  </si>
  <si>
    <t>Quarterly real GDP, SAAR</t>
  </si>
  <si>
    <t>Monthly CPI index (1982–1984 = 100)</t>
  </si>
  <si>
    <t>Monthly population (thousands)</t>
  </si>
  <si>
    <t>inputs</t>
  </si>
  <si>
    <t>C, D</t>
  </si>
  <si>
    <t>H</t>
  </si>
  <si>
    <t>D, F</t>
  </si>
  <si>
    <t>J</t>
  </si>
  <si>
    <t>D</t>
  </si>
  <si>
    <t>A, D</t>
  </si>
  <si>
    <t>D, M</t>
  </si>
  <si>
    <t>E</t>
  </si>
  <si>
    <t>B</t>
  </si>
  <si>
    <t>B, R</t>
  </si>
  <si>
    <t>Data processing</t>
  </si>
  <si>
    <t>Converted to annual using the annual average.</t>
  </si>
  <si>
    <t>Quarterly SAAR observations were averaged to annual values.</t>
  </si>
  <si>
    <t>purpose</t>
  </si>
  <si>
    <t>Implicit price index for domestic output.</t>
  </si>
  <si>
    <t>Re-bases each country's deflator so 2000 = 100 for comparison.</t>
  </si>
  <si>
    <t>Converts GDP to dollars and population to persons before division.</t>
  </si>
  <si>
    <t>Measures cumulative real-GDP-per-capita growth since 2000.</t>
  </si>
  <si>
    <t>Year-over-year real output growth.</t>
  </si>
  <si>
    <t>Full-sample linear trend used as the homework proxy for potential GDP.</t>
  </si>
  <si>
    <t>Measures actual output relative to the linear-trend proxy.</t>
  </si>
  <si>
    <t>Annual CPI inflation.</t>
  </si>
  <si>
    <t>Annual inflation implied by the GDP deflator.</t>
  </si>
  <si>
    <t>Percentage-point change in unemployment; used in Okun scatter plot.</t>
  </si>
  <si>
    <t>Simple benchmark for the 'normal' unemployment rate in Q9.</t>
  </si>
  <si>
    <t>Positive values mean unemployment is above its 2000–2024 average.</t>
  </si>
  <si>
    <t>CPI (base = 2015)</t>
  </si>
  <si>
    <t>Population(person)</t>
  </si>
  <si>
    <t>Real GDP per Capita (EUR/person)</t>
  </si>
  <si>
    <t>FRED `LRHUTTTTDEM156S`</t>
  </si>
  <si>
    <t>FRED `CPMNACSCAB1GQDE`</t>
  </si>
  <si>
    <t>FRED `CLVMNACSCAB1GQDE`</t>
  </si>
  <si>
    <t>FRED `DEUCPIALLMINMEI`</t>
  </si>
  <si>
    <t>FRED `POPTOTDEA647NWDB`</t>
  </si>
  <si>
    <t>(Real GDP × 1,000,000) / Population → EUR/person</t>
  </si>
  <si>
    <t>Monthly harmonized unemployment rate (%)</t>
  </si>
  <si>
    <t>Quarterly nominal GDP (million EUR)</t>
  </si>
  <si>
    <t>Quarterly real GDP (million chained EUR)</t>
  </si>
  <si>
    <t>Monthly CPI index (2015 = 100)</t>
  </si>
  <si>
    <t>Annual population (persons)</t>
  </si>
  <si>
    <t>Four quarterly values were summed to obtain each annual GDP value.</t>
  </si>
  <si>
    <t>Four quarterly values were summed to obtain each annual real GDP value.</t>
  </si>
  <si>
    <t>Already annual; no frequency conversion.</t>
  </si>
  <si>
    <t>Converts GDP from millions of EUR to EUR before dividing by persons.</t>
  </si>
  <si>
    <t>Youth Unemployment Rate (%)</t>
  </si>
  <si>
    <t>Nominal GDP (million yuan)</t>
  </si>
  <si>
    <t>Real GDP - Reconstructed (million yuan, base 2000)</t>
  </si>
  <si>
    <t>CPI (2015=100)</t>
  </si>
  <si>
    <t>Population (persons)</t>
  </si>
  <si>
    <t>Real GDP Growth Input (%)</t>
  </si>
  <si>
    <t>Real GDP per Capita (Yuan/person)</t>
  </si>
  <si>
    <t>FRED `SLUEM1524ZSCHN`</t>
  </si>
  <si>
    <t>FRED `NGDPXDCCNA`</t>
  </si>
  <si>
    <t>Reconstructed from FRED `CHNGDPRAPSMEI`</t>
  </si>
  <si>
    <t>FRED `CHNCPIALLMINMEI`</t>
  </si>
  <si>
    <t>FRED `POPTOTCNA647NWDB`</t>
  </si>
  <si>
    <t>FRED `CHNGDPRAPSMEI`</t>
  </si>
  <si>
    <t>Nominal GDP / Reconstructed Real GDP × 100</t>
  </si>
  <si>
    <t>(Reconstructed Real GDP × 1,000,000) / Population → Yuan/person</t>
  </si>
  <si>
    <t>TREND(Reconstructed Real GDP 2000–2024, time 2000–2024)</t>
  </si>
  <si>
    <t>Youth unemployment_t − Youth unemployment_t−1</t>
  </si>
  <si>
    <t>AVERAGE(Youth unemployment, 2000–2024)</t>
  </si>
  <si>
    <t>Actual youth unemployment − full-sample average</t>
  </si>
  <si>
    <t>Annual youth unemployment rate, ages 15–24 (%)</t>
  </si>
  <si>
    <t>Annual nominal GDP (million yuan)</t>
  </si>
  <si>
    <t>Reconstructed real GDP level</t>
  </si>
  <si>
    <t>Annual real GDP growth rate (%)</t>
  </si>
  <si>
    <t>I</t>
  </si>
  <si>
    <t>K</t>
  </si>
  <si>
    <t>D, N</t>
  </si>
  <si>
    <t>B, S</t>
  </si>
  <si>
    <t>2000 was used as the base/start value; later real GDP values were chained using the annual real GDP growth rate.</t>
  </si>
  <si>
    <t>Already annual; used as the input for real GDP reconstruction.</t>
  </si>
  <si>
    <t>Implicit price index based on the reconstructed real-GDP series.</t>
  </si>
  <si>
    <t>Re-bases the deflator so 2000 = 100 for comparison.</t>
  </si>
  <si>
    <t>Converts GDP from million yuan to yuan before dividing by persons.</t>
  </si>
  <si>
    <t>Year-over-year growth of the reconstructed real-GDP series.</t>
  </si>
  <si>
    <t>Annual inflation implied by the reconstructed GDP deflator.</t>
  </si>
  <si>
    <t>Percentage-point change in the selected youth-unemployment series.</t>
  </si>
  <si>
    <t>Simple benchmark for the selected unemployment series in Q9.</t>
  </si>
  <si>
    <t>Positive values mean youth unemployment is above its sample average.</t>
  </si>
  <si>
    <t>CPI( base = 2015)</t>
  </si>
  <si>
    <t>FRED `LRHUTTTTITM156S`</t>
  </si>
  <si>
    <t>FRED `CPMNACSCAB1GQIT`</t>
  </si>
  <si>
    <t>FRED `CLVMNACSCAB1GQIT`</t>
  </si>
  <si>
    <t>FRED `ITACPIALLMINMEI`</t>
  </si>
  <si>
    <t>FRED `POPTOTITA647NWDB`</t>
  </si>
  <si>
    <t>FRED `LRHUTTTTFRM156S`</t>
  </si>
  <si>
    <t>FRED `CPMNACSCAB1GQFR`</t>
  </si>
  <si>
    <t>FRED `CLVMNACSCAB1GQFR`</t>
  </si>
  <si>
    <t>FRED `FRACPIALLMINMEI`</t>
  </si>
  <si>
    <t>FRED `POPTOTFRA647NWDB`</t>
  </si>
  <si>
    <t>population(person)</t>
  </si>
  <si>
    <t>cpi inflation input</t>
  </si>
  <si>
    <t>Real GDP per Capita (Yen/person)</t>
  </si>
  <si>
    <t>FRED `LRHUTTTTJPM156S`</t>
  </si>
  <si>
    <t>FRED `JPNNGDP`</t>
  </si>
  <si>
    <t>FRED `JPNRGDPEXP`</t>
  </si>
  <si>
    <t>Reconstructed from FRED `FPCPITOTLZGJPN`</t>
  </si>
  <si>
    <t>FRED `POPTOTJPA647NWDB`</t>
  </si>
  <si>
    <t>FRED `FPCPITOTLZGJPN`</t>
  </si>
  <si>
    <t>(Real GDP × 1,000,000,000) / Population → Yen/person</t>
  </si>
  <si>
    <t>(Reconstructed CPI_t − Reconstructed CPI_t−1) / prior CPI × 100</t>
  </si>
  <si>
    <t>Quarterly nominal GDP</t>
  </si>
  <si>
    <t>Quarterly real GDP</t>
  </si>
  <si>
    <t>Reconstructed CPI index (2015 = 100)</t>
  </si>
  <si>
    <t>Annual CPI inflation rate (%)</t>
  </si>
  <si>
    <t>Quarterly observations were averaged to annual values.</t>
  </si>
  <si>
    <t>CPI was reconstructed from annual CPI inflation, setting 2015 = 100 and chaining forward/backward.</t>
  </si>
  <si>
    <t>Already annual; used as the input for CPI reconstruction.</t>
  </si>
  <si>
    <t>Converts GDP from billions of yen to yen before dividing by persons.</t>
  </si>
  <si>
    <t>Annual CPI inflation calculated from the reconstructed CPI index.</t>
  </si>
  <si>
    <t>CPI(base = 2015)</t>
  </si>
  <si>
    <t>Real GDP per Capita (GBP/person)</t>
  </si>
  <si>
    <t>FRED `LRHUTTTTGBM156S`</t>
  </si>
  <si>
    <t>FRED `NGDPXDCGBA`</t>
  </si>
  <si>
    <t>FRED `NGDPRXDCGBA`</t>
  </si>
  <si>
    <t>FRED `GBRCPIALLMINMEI`</t>
  </si>
  <si>
    <t>FRED `POPTOTGBA647NWDB`</t>
  </si>
  <si>
    <t>(Real GDP × 1,000,000) / Population → GBP/person</t>
  </si>
  <si>
    <t>Annual nominal GDP (million domestic currency)</t>
  </si>
  <si>
    <t>Annual real GDP (million domestic currency)</t>
  </si>
  <si>
    <t>Converts GDP from millions of GBP to GBP before dividing by persons.</t>
  </si>
  <si>
    <t>Unemployment rate (%)</t>
  </si>
  <si>
    <t>Nominal GDP (Billion Rials)</t>
  </si>
  <si>
    <t>Real GDP - Linked CBI Series (Billion Rials, 2021/22 prices)</t>
  </si>
  <si>
    <t>CPI - Urban Households (1400=100)</t>
  </si>
  <si>
    <t>Real GDP per Capita (Rials/person)</t>
  </si>
  <si>
    <t>CBI Real GDP Vintage: 2004/05 prices</t>
  </si>
  <si>
    <t>CBI Real GDP Vintage: 2016/17 prices</t>
  </si>
  <si>
    <t>CBI Real GDP Vintage: 2021/22 prices</t>
  </si>
  <si>
    <t>SCI Labour Force Survey</t>
  </si>
  <si>
    <t>CBI Annual National Accounts</t>
  </si>
  <si>
    <t>CBI Annual National Accounts - linked real GDP</t>
  </si>
  <si>
    <t>SCI CPI - Urban Households</t>
  </si>
  <si>
    <t>SCI Population Estimates / Projections</t>
  </si>
  <si>
    <t>definition</t>
  </si>
  <si>
    <t>Nominal GDP / Real GDP x 100</t>
  </si>
  <si>
    <t>GDP Deflator / GDP Deflator in 2000 x 100</t>
  </si>
  <si>
    <t>(Real GDP x 1,000,000,000) / Population</t>
  </si>
  <si>
    <t>Real GDP per Capita / 2000 value x 100</t>
  </si>
  <si>
    <t>(Real GDP_t - Real GDP_t-1) / Real GDP_t-1 x 100</t>
  </si>
  <si>
    <t>TREND(Real GDP 2000-2024, time 2000-2024)</t>
  </si>
  <si>
    <t>(Actual Real GDP - Potential GDP) / Potential GDP x 100</t>
  </si>
  <si>
    <t>(CPI_t - CPI_t-1) / CPI_t-1 x 100</t>
  </si>
  <si>
    <t>(Deflator_t - Deflator_t-1) / Deflator_t-1 x 100</t>
  </si>
  <si>
    <t>Unemployment_t - Unemployment_t-1</t>
  </si>
  <si>
    <t>AVERAGE(available unemployment observations)</t>
  </si>
  <si>
    <t>Actual unemployment - available-sample average</t>
  </si>
  <si>
    <t>Supporting CBI constant-price GDP vintages used only to construct linked Real GDP in column D</t>
  </si>
  <si>
    <t>2005-2024</t>
  </si>
  <si>
    <t>2000-2024</t>
  </si>
  <si>
    <t>2001-2024</t>
  </si>
  <si>
    <t>2006-2024</t>
  </si>
  <si>
    <t>Link rule</t>
  </si>
  <si>
    <t>2000-2010: backcast from linked 2011 using 2004/05-vintage ratios</t>
  </si>
  <si>
    <t>2011-2015: backcast from 2016 using 2016/17-vintage ratios</t>
  </si>
  <si>
    <t>2016-2024: latest 2021/22-price levels used directly</t>
  </si>
  <si>
    <t>Quarterly unemployment rate, population age 15+ (%)</t>
  </si>
  <si>
    <t>Annual nominal GDP at current prices (billion rials)</t>
  </si>
  <si>
    <t>Linked annual real GDP, expressed on latest 2021/22-price scale (billion rials)</t>
  </si>
  <si>
    <t>Annual CPI index for urban households (1400=100)</t>
  </si>
  <si>
    <t>Annual total population (persons)</t>
  </si>
  <si>
    <t>input</t>
  </si>
  <si>
    <t>Overlap years</t>
  </si>
  <si>
    <t>2011</t>
  </si>
  <si>
    <t>2016</t>
  </si>
  <si>
    <t>Latest scale: 2021/22</t>
  </si>
  <si>
    <t>Quarterly rates were converted to annual values using the arithmetic average. Iranian years were mapped to workbook years by adding 621.</t>
  </si>
  <si>
    <t>Gross Domestic Expenditure at market prices was taken from the newest available CBI annual-account vintage for each segment.</t>
  </si>
  <si>
    <t>CBI constant-price vintages (2004/05, 2016/17, 2021/22) were linked through overlapping years; the final series is on the 2021/22-price scale.</t>
  </si>
  <si>
    <t>The SCI annual CPI series was used directly. Iranian years 1379-1403 were labeled 2000-2024 by adding 621.</t>
  </si>
  <si>
    <t>SCI figures reported in thousand persons were multiplied by 1,000. Historical estimates and later projections were combined.</t>
  </si>
  <si>
    <t>Implicit price index based on current-price GDP and the linked real-GDP series.</t>
  </si>
  <si>
    <t>Re-bases Iran's deflator so 2000=100 for cross-country comparison.</t>
  </si>
  <si>
    <t>Converts real GDP from billion rials to rials before dividing by persons.</t>
  </si>
  <si>
    <t>Year-over-year growth of the linked real-GDP series.</t>
  </si>
  <si>
    <t>Measures actual real GDP relative to the linear-trend proxy.</t>
  </si>
  <si>
    <t>Annual inflation implied by the linked GDP deflator.</t>
  </si>
  <si>
    <t>Percentage-point change in unemployment; first valid change is 2006.</t>
  </si>
  <si>
    <t>Simple benchmark for normal unemployment using the consistent 2005-2024 SCI sample.</t>
  </si>
  <si>
    <t>Positive values mean unemployment is above its 2005-2024 average.</t>
  </si>
  <si>
    <t>Purpose</t>
  </si>
  <si>
    <t>Preserve historical growth</t>
  </si>
  <si>
    <t>Bridge to latest vintage</t>
  </si>
  <si>
    <t>Avoid artificial jumps from base-year changes</t>
  </si>
  <si>
    <t>USA</t>
  </si>
  <si>
    <t>GERMANY</t>
  </si>
  <si>
    <t>CHINA</t>
  </si>
  <si>
    <t>ITALY</t>
  </si>
  <si>
    <t>FRANCE</t>
  </si>
  <si>
    <t>JAPAN</t>
  </si>
  <si>
    <t>UK</t>
  </si>
  <si>
    <t>IRAN</t>
  </si>
  <si>
    <t>Q4 - Average Annual Real GDP Growth by Sub-Period (%)</t>
  </si>
  <si>
    <t>Country</t>
  </si>
  <si>
    <t>2000-2007</t>
  </si>
  <si>
    <t>2008-2009</t>
  </si>
  <si>
    <t>2010-2019</t>
  </si>
  <si>
    <t>2020-2024</t>
  </si>
  <si>
    <t>Q7 - Average Absolute Gap Between CPI Inflation and GDP Deflator Inflation (pp)</t>
  </si>
  <si>
    <t>Avg |CPI Inflation - Deflator Inflation| (pp)</t>
  </si>
  <si>
    <t>Q1 - GDP Deflator Index (2000=100)</t>
  </si>
  <si>
    <t>Q2 - Real GDP per Capita Index (First Year = 100)</t>
  </si>
  <si>
    <t>Q3 - Real GDP Growth Rate (%)</t>
  </si>
  <si>
    <t>Q5 - Output Gap (%)</t>
  </si>
  <si>
    <t>Q6 - CPI Inflation Rate (%)</t>
  </si>
  <si>
    <t>Q8 - Unemployment Rate (%)</t>
  </si>
  <si>
    <t>Q9 - Unemployment Gap (pp)</t>
  </si>
  <si>
    <t>Avg Real GDP Growth 2020-2024 (%)</t>
  </si>
  <si>
    <t>Real GDP Growth 2024 (%)</t>
  </si>
  <si>
    <t>CPI Inflation 2024 (%)</t>
  </si>
  <si>
    <t>Unemployment 2024 (%)</t>
  </si>
  <si>
    <t>Misery Index 2024</t>
  </si>
  <si>
    <t>Q10 - Macroeconomic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</si>
</sst>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"/>
    <numFmt numFmtId="165" formatCode="0.00;[Red]0.00"/>
    <numFmt numFmtId="166" formatCode="0;[Red]0"/>
    <numFmt numFmtId="167" formatCode="#,##0.000"/>
  </numFmts>
  <fonts count="18" x14ac:knownFonts="1">
    <font>
      <sz val="11"/>
      <color theme="1"/>
      <name val="Aptos Narrow"/>
      <charset val="1"/>
    </font>
    <font>
      <sz val="11"/>
      <color theme="10"/>
      <name val="Aptos Narrow"/>
      <charset val="1"/>
    </font>
    <font>
      <sz val="11"/>
      <name val="Calibri"/>
      <charset val="1"/>
    </font>
    <font>
      <sz val="14"/>
      <color theme="1"/>
      <name val="Aptos Narrow"/>
      <charset val="1"/>
    </font>
    <font>
      <b/>
      <sz val="14"/>
      <color theme="1"/>
      <name val="Aptos Narrow"/>
      <charset val="1"/>
    </font>
    <font>
      <sz val="14"/>
      <name val="Calibri"/>
      <charset val="1"/>
    </font>
    <font>
      <b/>
      <sz val="14"/>
      <name val="Calibri"/>
      <charset val="1"/>
    </font>
    <font>
      <b/>
      <sz val="11"/>
      <name val="Calibri"/>
      <charset val="1"/>
    </font>
    <font>
      <b/>
      <sz val="11"/>
      <color rgb="FFFFFFFF"/>
      <name val="Cambria"/>
      <charset val="1"/>
    </font>
    <font>
      <sz val="11"/>
      <color theme="1"/>
      <name val="Aptos Narrow"/>
      <charset val="1"/>
    </font>
    <font>
      <b/>
      <sz val="13"/>
      <color rgb="FF1F4E78"/>
      <name val="Cambria"/>
      <family val="1"/>
    </font>
    <font>
      <b/>
      <sz val="13"/>
      <color theme="1"/>
      <name val="Cambria"/>
      <family val="1"/>
    </font>
    <font>
      <sz val="11"/>
      <color theme="1"/>
      <name val="Aptos Narrow"/>
      <family val="2"/>
    </font>
    <font>
      <b/>
      <sz val="11"/>
      <color rgb="FFFFFFFF"/>
      <name val="Aptos Narrow"/>
    </font>
    <font>
      <b/>
      <sz val="11"/>
      <color theme="1"/>
      <name val="Aptos Narrow"/>
    </font>
    <font>
      <b/>
      <sz val="11"/>
      <color rgb="FF1F1F1F"/>
      <name val="Aptos Narrow"/>
    </font>
    <font>
      <i/>
      <sz val="11"/>
      <color rgb="FF666666"/>
      <name val="Aptos Narrow"/>
    </font>
    <font>
      <b/>
      <sz val="11"/>
      <color rgb="FF1F1F1F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rgb="FFFBE3D6"/>
      </patternFill>
    </fill>
    <fill>
      <patternFill patternType="solid">
        <fgColor theme="8" tint="0.39997558519241921"/>
        <bgColor rgb="FFD9D9D9"/>
      </patternFill>
    </fill>
    <fill>
      <patternFill patternType="solid">
        <fgColor theme="6" tint="0.39997558519241921"/>
        <bgColor rgb="FFD9D9D9"/>
      </patternFill>
    </fill>
    <fill>
      <patternFill patternType="solid">
        <fgColor theme="4" tint="0.79998168889431442"/>
        <bgColor rgb="FFFBE3D6"/>
      </patternFill>
    </fill>
    <fill>
      <patternFill patternType="solid">
        <fgColor theme="6" tint="0.39997558519241921"/>
        <bgColor rgb="FFE8E8E8"/>
      </patternFill>
    </fill>
    <fill>
      <patternFill patternType="solid">
        <fgColor theme="6" tint="0.39997558519241921"/>
        <bgColor rgb="FF264478"/>
      </patternFill>
    </fill>
    <fill>
      <patternFill patternType="solid">
        <fgColor theme="0"/>
        <bgColor rgb="FFFBE3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2644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rgb="FFB4C6E7"/>
      </left>
      <right/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9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2" fontId="3" fillId="5" borderId="3" xfId="0" applyNumberFormat="1" applyFont="1" applyFill="1" applyBorder="1" applyAlignment="1">
      <alignment horizontal="center" vertical="center"/>
    </xf>
    <xf numFmtId="4" fontId="3" fillId="5" borderId="3" xfId="0" applyNumberFormat="1" applyFont="1" applyFill="1" applyBorder="1" applyAlignment="1">
      <alignment horizontal="center" vertical="center"/>
    </xf>
    <xf numFmtId="167" fontId="3" fillId="5" borderId="3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65" fontId="3" fillId="8" borderId="3" xfId="0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wrapText="1"/>
    </xf>
    <xf numFmtId="0" fontId="0" fillId="9" borderId="3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0" fillId="9" borderId="0" xfId="0" applyFill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13" fillId="11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wrapText="1"/>
    </xf>
    <xf numFmtId="0" fontId="17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2" fontId="0" fillId="12" borderId="0" xfId="0" applyNumberFormat="1" applyFill="1" applyAlignment="1">
      <alignment wrapText="1"/>
    </xf>
    <xf numFmtId="0" fontId="7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</cellXfs>
  <cellStyles count="5">
    <cellStyle name="Hyperlink 1" xfId="1" xr:uid="{00000000-0005-0000-0000-000006000000}"/>
    <cellStyle name="Hyperlink 2" xfId="2" xr:uid="{00000000-0005-0000-0000-000007000000}"/>
    <cellStyle name="Normal" xfId="0" builtinId="0"/>
    <cellStyle name="Normal 2" xfId="3" xr:uid="{00000000-0005-0000-0000-000008000000}"/>
    <cellStyle name="Normal 3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7F7F7F"/>
      <rgbColor rgb="FF5B9BD5"/>
      <rgbColor rgb="FF993366"/>
      <rgbColor rgb="FFFBE3D6"/>
      <rgbColor rgb="FFC1E5F5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D9D9"/>
      <rgbColor rgb="FFFFFF99"/>
      <rgbColor rgb="FF99CCFF"/>
      <rgbColor rgb="FFFF99CC"/>
      <rgbColor rgb="FFCC99FF"/>
      <rgbColor rgb="FFF6C6AD"/>
      <rgbColor rgb="FF4472C4"/>
      <rgbColor rgb="FF33CCCC"/>
      <rgbColor rgb="FF99CC00"/>
      <rgbColor rgb="FFFFC000"/>
      <rgbColor rgb="FFFF9900"/>
      <rgbColor rgb="FFED7D31"/>
      <rgbColor rgb="FF467886"/>
      <rgbColor rgb="FFA5A5A5"/>
      <rgbColor rgb="FF1F4E78"/>
      <rgbColor rgb="FF70AD47"/>
      <rgbColor rgb="FF003300"/>
      <rgbColor rgb="FF333300"/>
      <rgbColor rgb="FF993300"/>
      <rgbColor rgb="FF993366"/>
      <rgbColor rgb="FF2644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USA: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USA!$C$1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USA!$C$2:$C$26</c:f>
              <c:numCache>
                <c:formatCode>0.00;[Red]0.00</c:formatCode>
                <c:ptCount val="25"/>
                <c:pt idx="0">
                  <c:v>10250.951999999999</c:v>
                </c:pt>
                <c:pt idx="1">
                  <c:v>10581.929</c:v>
                </c:pt>
                <c:pt idx="2">
                  <c:v>10929.108</c:v>
                </c:pt>
                <c:pt idx="3">
                  <c:v>11456.45</c:v>
                </c:pt>
                <c:pt idx="4">
                  <c:v>12217.196</c:v>
                </c:pt>
                <c:pt idx="5">
                  <c:v>13039.197</c:v>
                </c:pt>
                <c:pt idx="6">
                  <c:v>13815.583000000001</c:v>
                </c:pt>
                <c:pt idx="7">
                  <c:v>14474.227000000001</c:v>
                </c:pt>
                <c:pt idx="8">
                  <c:v>14769.861999999999</c:v>
                </c:pt>
                <c:pt idx="9">
                  <c:v>14478.066999999999</c:v>
                </c:pt>
                <c:pt idx="10">
                  <c:v>15048.971</c:v>
                </c:pt>
                <c:pt idx="11">
                  <c:v>15599.732</c:v>
                </c:pt>
                <c:pt idx="12">
                  <c:v>16253.97</c:v>
                </c:pt>
                <c:pt idx="13">
                  <c:v>16880.683000000001</c:v>
                </c:pt>
                <c:pt idx="14">
                  <c:v>17608.137999999999</c:v>
                </c:pt>
                <c:pt idx="15">
                  <c:v>18295.019</c:v>
                </c:pt>
                <c:pt idx="16">
                  <c:v>18804.913</c:v>
                </c:pt>
                <c:pt idx="17">
                  <c:v>19612.102999999999</c:v>
                </c:pt>
                <c:pt idx="18">
                  <c:v>20656.516</c:v>
                </c:pt>
                <c:pt idx="19">
                  <c:v>21539.982</c:v>
                </c:pt>
                <c:pt idx="20">
                  <c:v>21375.281999999999</c:v>
                </c:pt>
                <c:pt idx="21">
                  <c:v>23725.646000000001</c:v>
                </c:pt>
                <c:pt idx="22">
                  <c:v>26054.614000000001</c:v>
                </c:pt>
                <c:pt idx="23">
                  <c:v>27811.517</c:v>
                </c:pt>
                <c:pt idx="24">
                  <c:v>29298.012999999999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50-4B2E-BB89-E610D5101B02}"/>
            </c:ext>
          </c:extLst>
        </c:ser>
        <c:ser>
          <c:idx val="1"/>
          <c:order val="1"/>
          <c:tx>
            <c:strRef>
              <c:f>USA!$D$1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USA!$D$2:$D$26</c:f>
              <c:numCache>
                <c:formatCode>0.00;[Red]0.00</c:formatCode>
                <c:ptCount val="25"/>
                <c:pt idx="0">
                  <c:v>14096.032999999999</c:v>
                </c:pt>
                <c:pt idx="1">
                  <c:v>14230.726000000001</c:v>
                </c:pt>
                <c:pt idx="2">
                  <c:v>14472.712</c:v>
                </c:pt>
                <c:pt idx="3">
                  <c:v>14877.313</c:v>
                </c:pt>
                <c:pt idx="4">
                  <c:v>15449.757</c:v>
                </c:pt>
                <c:pt idx="5">
                  <c:v>15987.958000000001</c:v>
                </c:pt>
                <c:pt idx="6">
                  <c:v>16433.148000000001</c:v>
                </c:pt>
                <c:pt idx="7">
                  <c:v>16762.446</c:v>
                </c:pt>
                <c:pt idx="8">
                  <c:v>16781.485000000001</c:v>
                </c:pt>
                <c:pt idx="9">
                  <c:v>16349.111000000001</c:v>
                </c:pt>
                <c:pt idx="10">
                  <c:v>16789.751</c:v>
                </c:pt>
                <c:pt idx="11">
                  <c:v>17052.411</c:v>
                </c:pt>
                <c:pt idx="12">
                  <c:v>17442.758999999998</c:v>
                </c:pt>
                <c:pt idx="13">
                  <c:v>17812.167000000001</c:v>
                </c:pt>
                <c:pt idx="14">
                  <c:v>18261.714</c:v>
                </c:pt>
                <c:pt idx="15">
                  <c:v>18799.621999999999</c:v>
                </c:pt>
                <c:pt idx="16">
                  <c:v>19141.671999999999</c:v>
                </c:pt>
                <c:pt idx="17">
                  <c:v>19612.102999999999</c:v>
                </c:pt>
                <c:pt idx="18">
                  <c:v>20193.895</c:v>
                </c:pt>
                <c:pt idx="19">
                  <c:v>20715.671999999999</c:v>
                </c:pt>
                <c:pt idx="20">
                  <c:v>20284.5</c:v>
                </c:pt>
                <c:pt idx="21">
                  <c:v>21532.406999999999</c:v>
                </c:pt>
                <c:pt idx="22">
                  <c:v>22075.931</c:v>
                </c:pt>
                <c:pt idx="23">
                  <c:v>22723.719000000001</c:v>
                </c:pt>
                <c:pt idx="24">
                  <c:v>23358.435000000001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50-4B2E-BB89-E610D5101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083182"/>
        <c:axId val="88042115"/>
      </c:lineChart>
      <c:dateAx>
        <c:axId val="330831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8042115"/>
        <c:crosses val="autoZero"/>
        <c:auto val="1"/>
        <c:lblOffset val="100"/>
        <c:baseTimeUnit val="years"/>
      </c:dateAx>
      <c:valAx>
        <c:axId val="880421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30831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USA: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USA!$L$1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USA!$L$2:$L$26</c:f>
              <c:numCache>
                <c:formatCode>0.00;[Red]0.00</c:formatCode>
                <c:ptCount val="25"/>
                <c:pt idx="1">
                  <c:v>0.95553834188669351</c:v>
                </c:pt>
                <c:pt idx="2">
                  <c:v>1.7004473278453887</c:v>
                </c:pt>
                <c:pt idx="3">
                  <c:v>2.7956128747673592</c:v>
                </c:pt>
                <c:pt idx="4">
                  <c:v>3.8477647139641378</c:v>
                </c:pt>
                <c:pt idx="5">
                  <c:v>3.4835564080393038</c:v>
                </c:pt>
                <c:pt idx="6">
                  <c:v>2.7845332093066575</c:v>
                </c:pt>
                <c:pt idx="7">
                  <c:v>2.0038643843528874</c:v>
                </c:pt>
                <c:pt idx="8">
                  <c:v>0.11358127566824477</c:v>
                </c:pt>
                <c:pt idx="9">
                  <c:v>-2.5764942733017953</c:v>
                </c:pt>
                <c:pt idx="10">
                  <c:v>2.6951924174959689</c:v>
                </c:pt>
                <c:pt idx="11">
                  <c:v>1.5644067621967701</c:v>
                </c:pt>
                <c:pt idx="12">
                  <c:v>2.2891073878057369</c:v>
                </c:pt>
                <c:pt idx="13">
                  <c:v>2.1178300978646964</c:v>
                </c:pt>
                <c:pt idx="14">
                  <c:v>2.523819813726194</c:v>
                </c:pt>
                <c:pt idx="15">
                  <c:v>2.9455504559977195</c:v>
                </c:pt>
                <c:pt idx="16">
                  <c:v>1.8194514762052094</c:v>
                </c:pt>
                <c:pt idx="17">
                  <c:v>2.4576275259548934</c:v>
                </c:pt>
                <c:pt idx="18">
                  <c:v>2.9664947201225758</c:v>
                </c:pt>
                <c:pt idx="19">
                  <c:v>2.5838353621230485</c:v>
                </c:pt>
                <c:pt idx="20">
                  <c:v>-2.0813807053905791</c:v>
                </c:pt>
                <c:pt idx="21">
                  <c:v>6.152022480218883</c:v>
                </c:pt>
                <c:pt idx="22">
                  <c:v>2.5242138512429255</c:v>
                </c:pt>
                <c:pt idx="23">
                  <c:v>2.9343632211932555</c:v>
                </c:pt>
                <c:pt idx="24">
                  <c:v>2.7931871539161364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1A-41C1-9598-CD22AB007C63}"/>
            </c:ext>
          </c:extLst>
        </c:ser>
        <c:ser>
          <c:idx val="1"/>
          <c:order val="1"/>
          <c:tx>
            <c:strRef>
              <c:f>USA!$G$1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1A-41C1-9598-CD22AB007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1021414"/>
        <c:axId val="96421396"/>
      </c:lineChart>
      <c:dateAx>
        <c:axId val="71021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6421396"/>
        <c:crosses val="autoZero"/>
        <c:auto val="1"/>
        <c:lblOffset val="100"/>
        <c:baseTimeUnit val="years"/>
      </c:dateAx>
      <c:valAx>
        <c:axId val="964213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1021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USA: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USA!$D$2:$D$26</c:f>
              <c:numCache>
                <c:formatCode>0.00;[Red]0.00</c:formatCode>
                <c:ptCount val="25"/>
                <c:pt idx="0">
                  <c:v>14096.032999999999</c:v>
                </c:pt>
                <c:pt idx="1">
                  <c:v>14230.726000000001</c:v>
                </c:pt>
                <c:pt idx="2">
                  <c:v>14472.712</c:v>
                </c:pt>
                <c:pt idx="3">
                  <c:v>14877.313</c:v>
                </c:pt>
                <c:pt idx="4">
                  <c:v>15449.757</c:v>
                </c:pt>
                <c:pt idx="5">
                  <c:v>15987.958000000001</c:v>
                </c:pt>
                <c:pt idx="6">
                  <c:v>16433.148000000001</c:v>
                </c:pt>
                <c:pt idx="7">
                  <c:v>16762.446</c:v>
                </c:pt>
                <c:pt idx="8">
                  <c:v>16781.485000000001</c:v>
                </c:pt>
                <c:pt idx="9">
                  <c:v>16349.111000000001</c:v>
                </c:pt>
                <c:pt idx="10">
                  <c:v>16789.751</c:v>
                </c:pt>
                <c:pt idx="11">
                  <c:v>17052.411</c:v>
                </c:pt>
                <c:pt idx="12">
                  <c:v>17442.758999999998</c:v>
                </c:pt>
                <c:pt idx="13">
                  <c:v>17812.167000000001</c:v>
                </c:pt>
                <c:pt idx="14">
                  <c:v>18261.714</c:v>
                </c:pt>
                <c:pt idx="15">
                  <c:v>18799.621999999999</c:v>
                </c:pt>
                <c:pt idx="16">
                  <c:v>19141.671999999999</c:v>
                </c:pt>
                <c:pt idx="17">
                  <c:v>19612.102999999999</c:v>
                </c:pt>
                <c:pt idx="18">
                  <c:v>20193.895</c:v>
                </c:pt>
                <c:pt idx="19">
                  <c:v>20715.671999999999</c:v>
                </c:pt>
                <c:pt idx="20">
                  <c:v>20284.5</c:v>
                </c:pt>
                <c:pt idx="21">
                  <c:v>21532.406999999999</c:v>
                </c:pt>
                <c:pt idx="22">
                  <c:v>22075.931</c:v>
                </c:pt>
                <c:pt idx="23">
                  <c:v>22723.719000000001</c:v>
                </c:pt>
                <c:pt idx="24">
                  <c:v>23358.435000000001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D6-41A7-AF4F-8AA1D38E4D7F}"/>
            </c:ext>
          </c:extLst>
        </c:ser>
        <c:ser>
          <c:idx val="1"/>
          <c:order val="1"/>
          <c:tx>
            <c:strRef>
              <c:f>USA!$M$1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USA!$M$2:$M$26</c:f>
              <c:numCache>
                <c:formatCode>0.00;[Red]0.00</c:formatCode>
                <c:ptCount val="25"/>
                <c:pt idx="0">
                  <c:v>13714.535107090149</c:v>
                </c:pt>
                <c:pt idx="1">
                  <c:v>14076.494055222403</c:v>
                </c:pt>
                <c:pt idx="2">
                  <c:v>14437.464044479984</c:v>
                </c:pt>
                <c:pt idx="3">
                  <c:v>14798.434033737558</c:v>
                </c:pt>
                <c:pt idx="4">
                  <c:v>15159.404022995139</c:v>
                </c:pt>
                <c:pt idx="5">
                  <c:v>15521.362971127393</c:v>
                </c:pt>
                <c:pt idx="6">
                  <c:v>15882.332960384967</c:v>
                </c:pt>
                <c:pt idx="7">
                  <c:v>16243.302949642548</c:v>
                </c:pt>
                <c:pt idx="8">
                  <c:v>16604.272938900122</c:v>
                </c:pt>
                <c:pt idx="9">
                  <c:v>16966.231887032383</c:v>
                </c:pt>
                <c:pt idx="10">
                  <c:v>17327.201876289957</c:v>
                </c:pt>
                <c:pt idx="11">
                  <c:v>17688.171865547538</c:v>
                </c:pt>
                <c:pt idx="12">
                  <c:v>18049.141854805112</c:v>
                </c:pt>
                <c:pt idx="13">
                  <c:v>18411.100802937366</c:v>
                </c:pt>
                <c:pt idx="14">
                  <c:v>18772.070792194947</c:v>
                </c:pt>
                <c:pt idx="15">
                  <c:v>19133.040781452521</c:v>
                </c:pt>
                <c:pt idx="16">
                  <c:v>19494.010770710101</c:v>
                </c:pt>
                <c:pt idx="17">
                  <c:v>19855.969718842356</c:v>
                </c:pt>
                <c:pt idx="18">
                  <c:v>20216.939708099937</c:v>
                </c:pt>
                <c:pt idx="19">
                  <c:v>20577.909697357511</c:v>
                </c:pt>
                <c:pt idx="20">
                  <c:v>20938.879686615091</c:v>
                </c:pt>
                <c:pt idx="21">
                  <c:v>21300.838634747346</c:v>
                </c:pt>
                <c:pt idx="22">
                  <c:v>21661.80862400492</c:v>
                </c:pt>
                <c:pt idx="23">
                  <c:v>22022.778613262501</c:v>
                </c:pt>
                <c:pt idx="24">
                  <c:v>22383.748602520074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D6-41A7-AF4F-8AA1D38E4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7405338"/>
        <c:axId val="71070701"/>
      </c:lineChart>
      <c:dateAx>
        <c:axId val="17405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1070701"/>
        <c:crosses val="autoZero"/>
        <c:auto val="1"/>
        <c:lblOffset val="100"/>
        <c:baseTimeUnit val="years"/>
      </c:dateAx>
      <c:valAx>
        <c:axId val="710707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7405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USA: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USA!$N$1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USA!$N$2:$N$26</c:f>
              <c:numCache>
                <c:formatCode>0.00;[Red]0.00</c:formatCode>
                <c:ptCount val="25"/>
                <c:pt idx="0">
                  <c:v>2.7817048841314618</c:v>
                </c:pt>
                <c:pt idx="1">
                  <c:v>1.0956701588658495</c:v>
                </c:pt>
                <c:pt idx="2">
                  <c:v>0.24414229127373605</c:v>
                </c:pt>
                <c:pt idx="3">
                  <c:v>0.53302238657558931</c:v>
                </c:pt>
                <c:pt idx="4">
                  <c:v>1.9153324006961452</c:v>
                </c:pt>
                <c:pt idx="5">
                  <c:v>3.0061472677403409</c:v>
                </c:pt>
                <c:pt idx="6">
                  <c:v>3.4680990569138843</c:v>
                </c:pt>
                <c:pt idx="7">
                  <c:v>3.1960436369801033</c:v>
                </c:pt>
                <c:pt idx="8">
                  <c:v>1.0672678156519013</c:v>
                </c:pt>
                <c:pt idx="9">
                  <c:v>-3.6373479458574414</c:v>
                </c:pt>
                <c:pt idx="10">
                  <c:v>-3.1017753479596095</c:v>
                </c:pt>
                <c:pt idx="11">
                  <c:v>-3.594271190828108</c:v>
                </c:pt>
                <c:pt idx="12">
                  <c:v>-3.3596215248520513</c:v>
                </c:pt>
                <c:pt idx="13">
                  <c:v>-3.2531123985905777</c:v>
                </c:pt>
                <c:pt idx="14">
                  <c:v>-2.718702682535926</c:v>
                </c:pt>
                <c:pt idx="15">
                  <c:v>-1.7426335168622846</c:v>
                </c:pt>
                <c:pt idx="16">
                  <c:v>-1.8074206219250402</c:v>
                </c:pt>
                <c:pt idx="17">
                  <c:v>-1.2281783377768711</c:v>
                </c:pt>
                <c:pt idx="18">
                  <c:v>-0.11398712383112888</c:v>
                </c:pt>
                <c:pt idx="19">
                  <c:v>0.66946694133942408</c:v>
                </c:pt>
                <c:pt idx="20">
                  <c:v>-3.1251895822936278</c:v>
                </c:pt>
                <c:pt idx="21">
                  <c:v>1.087132620566889</c:v>
                </c:pt>
                <c:pt idx="22">
                  <c:v>1.911762693426087</c:v>
                </c:pt>
                <c:pt idx="23">
                  <c:v>3.1827972257568895</c:v>
                </c:pt>
                <c:pt idx="24">
                  <c:v>4.354437743149921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47-4194-9CB0-B522015CF1CD}"/>
            </c:ext>
          </c:extLst>
        </c:ser>
        <c:ser>
          <c:idx val="1"/>
          <c:order val="1"/>
          <c:tx>
            <c:strRef>
              <c:f>USA!$G$1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47-4194-9CB0-B522015CF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252991"/>
        <c:axId val="79952934"/>
      </c:lineChart>
      <c:dateAx>
        <c:axId val="62252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9952934"/>
        <c:crosses val="autoZero"/>
        <c:auto val="1"/>
        <c:lblOffset val="100"/>
        <c:baseTimeUnit val="years"/>
      </c:dateAx>
      <c:valAx>
        <c:axId val="799529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2252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USA: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USA!$O$1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USA!$O$2:$O$26</c:f>
              <c:numCache>
                <c:formatCode>0.00;[Red]0.00</c:formatCode>
                <c:ptCount val="25"/>
                <c:pt idx="1">
                  <c:v>2.8166233042185436</c:v>
                </c:pt>
                <c:pt idx="2">
                  <c:v>1.5956665649958703</c:v>
                </c:pt>
                <c:pt idx="3">
                  <c:v>2.297808936603162</c:v>
                </c:pt>
                <c:pt idx="4">
                  <c:v>2.6673913043478192</c:v>
                </c:pt>
                <c:pt idx="5">
                  <c:v>3.3661888326592884</c:v>
                </c:pt>
                <c:pt idx="6">
                  <c:v>3.2217425371414512</c:v>
                </c:pt>
                <c:pt idx="7">
                  <c:v>2.8706377320671974</c:v>
                </c:pt>
                <c:pt idx="8">
                  <c:v>3.8149162744038878</c:v>
                </c:pt>
                <c:pt idx="9">
                  <c:v>-0.32008696702499978</c:v>
                </c:pt>
                <c:pt idx="10">
                  <c:v>1.6363339780486079</c:v>
                </c:pt>
                <c:pt idx="11">
                  <c:v>3.1397311029182529</c:v>
                </c:pt>
                <c:pt idx="12">
                  <c:v>2.0731539237872565</c:v>
                </c:pt>
                <c:pt idx="13">
                  <c:v>1.4661172719590851</c:v>
                </c:pt>
                <c:pt idx="14">
                  <c:v>1.6153542360658013</c:v>
                </c:pt>
                <c:pt idx="15">
                  <c:v>0.12124284477114088</c:v>
                </c:pt>
                <c:pt idx="16">
                  <c:v>1.2670779149542981</c:v>
                </c:pt>
                <c:pt idx="17">
                  <c:v>2.1316222578696338</c:v>
                </c:pt>
                <c:pt idx="18">
                  <c:v>2.4392034954165429</c:v>
                </c:pt>
                <c:pt idx="19">
                  <c:v>1.813221823974511</c:v>
                </c:pt>
                <c:pt idx="20">
                  <c:v>1.252870101270082</c:v>
                </c:pt>
                <c:pt idx="21">
                  <c:v>4.6809809314831492</c:v>
                </c:pt>
                <c:pt idx="22">
                  <c:v>7.9908330350256156</c:v>
                </c:pt>
                <c:pt idx="23">
                  <c:v>4.1271110564338098</c:v>
                </c:pt>
                <c:pt idx="24">
                  <c:v>2.9520549518711681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41-4332-82BC-A29F9233F283}"/>
            </c:ext>
          </c:extLst>
        </c:ser>
        <c:ser>
          <c:idx val="1"/>
          <c:order val="1"/>
          <c:tx>
            <c:strRef>
              <c:f>USA!$P$1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USA!$P$2:$P$26</c:f>
              <c:numCache>
                <c:formatCode>0.00;[Red]0.00</c:formatCode>
                <c:ptCount val="25"/>
                <c:pt idx="1">
                  <c:v>2.2516899205759588</c:v>
                </c:pt>
                <c:pt idx="2">
                  <c:v>1.5539946554048718</c:v>
                </c:pt>
                <c:pt idx="3">
                  <c:v>1.9743078510751209</c:v>
                </c:pt>
                <c:pt idx="4">
                  <c:v>2.689094503450431</c:v>
                </c:pt>
                <c:pt idx="5">
                  <c:v>3.1354481084146082</c:v>
                </c:pt>
                <c:pt idx="6">
                  <c:v>3.0838431823275556</c:v>
                </c:pt>
                <c:pt idx="7">
                  <c:v>2.7092452623958434</c:v>
                </c:pt>
                <c:pt idx="8">
                  <c:v>1.9267228216992294</c:v>
                </c:pt>
                <c:pt idx="9">
                  <c:v>0.61677455877342457</c:v>
                </c:pt>
                <c:pt idx="10">
                  <c:v>1.2152868458029811</c:v>
                </c:pt>
                <c:pt idx="11">
                  <c:v>2.0631095680703915</c:v>
                </c:pt>
                <c:pt idx="12">
                  <c:v>1.8621709029581557</c:v>
                </c:pt>
                <c:pt idx="13">
                  <c:v>1.7018803620007086</c:v>
                </c:pt>
                <c:pt idx="14">
                  <c:v>1.7416180532767733</c:v>
                </c:pt>
                <c:pt idx="15">
                  <c:v>0.92804279334069673</c:v>
                </c:pt>
                <c:pt idx="16">
                  <c:v>0.9503224777626702</c:v>
                </c:pt>
                <c:pt idx="17">
                  <c:v>1.7908032863539443</c:v>
                </c:pt>
                <c:pt idx="18">
                  <c:v>2.2908953423794713</c:v>
                </c:pt>
                <c:pt idx="19">
                  <c:v>1.6504557284770844</c:v>
                </c:pt>
                <c:pt idx="20">
                  <c:v>1.344745381912525</c:v>
                </c:pt>
                <c:pt idx="21">
                  <c:v>4.562972340198316</c:v>
                </c:pt>
                <c:pt idx="22">
                  <c:v>7.1124984206855979</c:v>
                </c:pt>
                <c:pt idx="23">
                  <c:v>3.7002140334957883</c:v>
                </c:pt>
                <c:pt idx="24">
                  <c:v>2.4823692550010419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41-4332-82BC-A29F9233F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065790"/>
        <c:axId val="8861346"/>
      </c:lineChart>
      <c:dateAx>
        <c:axId val="76065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861346"/>
        <c:crosses val="autoZero"/>
        <c:auto val="1"/>
        <c:lblOffset val="100"/>
        <c:baseTimeUnit val="years"/>
      </c:dateAx>
      <c:valAx>
        <c:axId val="88613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6065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USA: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USA!$B$1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USA!$A$2:$A$26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USA!$B$2:$B$26</c:f>
              <c:numCache>
                <c:formatCode>0.00;[Red]0.00</c:formatCode>
                <c:ptCount val="25"/>
                <c:pt idx="0">
                  <c:v>4</c:v>
                </c:pt>
                <c:pt idx="1">
                  <c:v>4.7</c:v>
                </c:pt>
                <c:pt idx="2">
                  <c:v>5.8</c:v>
                </c:pt>
                <c:pt idx="3">
                  <c:v>6</c:v>
                </c:pt>
                <c:pt idx="4">
                  <c:v>5.5</c:v>
                </c:pt>
                <c:pt idx="5">
                  <c:v>5.0999999999999996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5.8</c:v>
                </c:pt>
                <c:pt idx="9">
                  <c:v>9.3000000000000007</c:v>
                </c:pt>
                <c:pt idx="10">
                  <c:v>9.6</c:v>
                </c:pt>
                <c:pt idx="11">
                  <c:v>8.9</c:v>
                </c:pt>
                <c:pt idx="12">
                  <c:v>8.1</c:v>
                </c:pt>
                <c:pt idx="13">
                  <c:v>7.4</c:v>
                </c:pt>
                <c:pt idx="14">
                  <c:v>6.2</c:v>
                </c:pt>
                <c:pt idx="15">
                  <c:v>5.3</c:v>
                </c:pt>
                <c:pt idx="16">
                  <c:v>4.9000000000000004</c:v>
                </c:pt>
                <c:pt idx="17">
                  <c:v>4.4000000000000004</c:v>
                </c:pt>
                <c:pt idx="18">
                  <c:v>3.9</c:v>
                </c:pt>
                <c:pt idx="19">
                  <c:v>3.7</c:v>
                </c:pt>
                <c:pt idx="20">
                  <c:v>8.1</c:v>
                </c:pt>
                <c:pt idx="21">
                  <c:v>5.4</c:v>
                </c:pt>
                <c:pt idx="22">
                  <c:v>3.7</c:v>
                </c:pt>
                <c:pt idx="23">
                  <c:v>3.6</c:v>
                </c:pt>
                <c:pt idx="24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E9-42F7-8D42-B7CD8A3F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04531"/>
        <c:axId val="19314843"/>
      </c:lineChart>
      <c:dateAx>
        <c:axId val="8904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9314843"/>
        <c:crosses val="autoZero"/>
        <c:auto val="1"/>
        <c:lblOffset val="100"/>
        <c:baseTimeUnit val="years"/>
      </c:dateAx>
      <c:valAx>
        <c:axId val="193148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904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USA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USA!$L$2:$L$26</c:f>
              <c:numCache>
                <c:formatCode>0.00;[Red]0.00</c:formatCode>
                <c:ptCount val="25"/>
                <c:pt idx="1">
                  <c:v>0.95553834188669351</c:v>
                </c:pt>
                <c:pt idx="2">
                  <c:v>1.7004473278453887</c:v>
                </c:pt>
                <c:pt idx="3">
                  <c:v>2.7956128747673592</c:v>
                </c:pt>
                <c:pt idx="4">
                  <c:v>3.8477647139641378</c:v>
                </c:pt>
                <c:pt idx="5">
                  <c:v>3.4835564080393038</c:v>
                </c:pt>
                <c:pt idx="6">
                  <c:v>2.7845332093066575</c:v>
                </c:pt>
                <c:pt idx="7">
                  <c:v>2.0038643843528874</c:v>
                </c:pt>
                <c:pt idx="8">
                  <c:v>0.11358127566824477</c:v>
                </c:pt>
                <c:pt idx="9">
                  <c:v>-2.5764942733017953</c:v>
                </c:pt>
                <c:pt idx="10">
                  <c:v>2.6951924174959689</c:v>
                </c:pt>
                <c:pt idx="11">
                  <c:v>1.5644067621967701</c:v>
                </c:pt>
                <c:pt idx="12">
                  <c:v>2.2891073878057369</c:v>
                </c:pt>
                <c:pt idx="13">
                  <c:v>2.1178300978646964</c:v>
                </c:pt>
                <c:pt idx="14">
                  <c:v>2.523819813726194</c:v>
                </c:pt>
                <c:pt idx="15">
                  <c:v>2.9455504559977195</c:v>
                </c:pt>
                <c:pt idx="16">
                  <c:v>1.8194514762052094</c:v>
                </c:pt>
                <c:pt idx="17">
                  <c:v>2.4576275259548934</c:v>
                </c:pt>
                <c:pt idx="18">
                  <c:v>2.9664947201225758</c:v>
                </c:pt>
                <c:pt idx="19">
                  <c:v>2.5838353621230485</c:v>
                </c:pt>
                <c:pt idx="20">
                  <c:v>-2.0813807053905791</c:v>
                </c:pt>
                <c:pt idx="21">
                  <c:v>6.152022480218883</c:v>
                </c:pt>
                <c:pt idx="22">
                  <c:v>2.5242138512429255</c:v>
                </c:pt>
                <c:pt idx="23">
                  <c:v>2.9343632211932555</c:v>
                </c:pt>
                <c:pt idx="24">
                  <c:v>2.7931871539161364</c:v>
                </c:pt>
              </c:numCache>
            </c:numRef>
          </c:xVal>
          <c:yVal>
            <c:numRef>
              <c:f>USA!$Q$2:$Q$26</c:f>
              <c:numCache>
                <c:formatCode>0.00;[Red]0.00</c:formatCode>
                <c:ptCount val="25"/>
                <c:pt idx="1">
                  <c:v>0.70000000000000018</c:v>
                </c:pt>
                <c:pt idx="2">
                  <c:v>1.0999999999999996</c:v>
                </c:pt>
                <c:pt idx="3">
                  <c:v>0.20000000000000018</c:v>
                </c:pt>
                <c:pt idx="4">
                  <c:v>-0.5</c:v>
                </c:pt>
                <c:pt idx="5">
                  <c:v>-0.40000000000000036</c:v>
                </c:pt>
                <c:pt idx="6">
                  <c:v>-0.5</c:v>
                </c:pt>
                <c:pt idx="7">
                  <c:v>0</c:v>
                </c:pt>
                <c:pt idx="8">
                  <c:v>1.2000000000000002</c:v>
                </c:pt>
                <c:pt idx="9">
                  <c:v>3.5000000000000009</c:v>
                </c:pt>
                <c:pt idx="10">
                  <c:v>0.29999999999999893</c:v>
                </c:pt>
                <c:pt idx="11">
                  <c:v>-0.69999999999999929</c:v>
                </c:pt>
                <c:pt idx="12">
                  <c:v>-0.80000000000000071</c:v>
                </c:pt>
                <c:pt idx="13">
                  <c:v>-0.69999999999999929</c:v>
                </c:pt>
                <c:pt idx="14">
                  <c:v>-1.2000000000000002</c:v>
                </c:pt>
                <c:pt idx="15">
                  <c:v>-0.90000000000000036</c:v>
                </c:pt>
                <c:pt idx="16">
                  <c:v>-0.39999999999999947</c:v>
                </c:pt>
                <c:pt idx="17">
                  <c:v>-0.5</c:v>
                </c:pt>
                <c:pt idx="18">
                  <c:v>-0.50000000000000044</c:v>
                </c:pt>
                <c:pt idx="19">
                  <c:v>-0.19999999999999973</c:v>
                </c:pt>
                <c:pt idx="20">
                  <c:v>4.3999999999999995</c:v>
                </c:pt>
                <c:pt idx="21">
                  <c:v>-2.6999999999999993</c:v>
                </c:pt>
                <c:pt idx="22">
                  <c:v>-1.7000000000000002</c:v>
                </c:pt>
                <c:pt idx="23">
                  <c:v>-0.10000000000000009</c:v>
                </c:pt>
                <c:pt idx="24">
                  <c:v>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D5-4D98-95FA-2F00F5DA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0863"/>
        <c:axId val="66870931"/>
      </c:scatterChart>
      <c:valAx>
        <c:axId val="926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0931"/>
        <c:crosses val="autoZero"/>
        <c:crossBetween val="midCat"/>
      </c:valAx>
      <c:valAx>
        <c:axId val="668709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GERMANY: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Germany!$C$1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Germany!$C$2:$C$26</c:f>
              <c:numCache>
                <c:formatCode>General</c:formatCode>
                <c:ptCount val="25"/>
                <c:pt idx="0">
                  <c:v>2129688</c:v>
                </c:pt>
                <c:pt idx="1">
                  <c:v>2198354</c:v>
                </c:pt>
                <c:pt idx="2">
                  <c:v>2227073</c:v>
                </c:pt>
                <c:pt idx="3">
                  <c:v>2244141</c:v>
                </c:pt>
                <c:pt idx="4">
                  <c:v>2285493</c:v>
                </c:pt>
                <c:pt idx="5">
                  <c:v>2322042</c:v>
                </c:pt>
                <c:pt idx="6">
                  <c:v>2426834</c:v>
                </c:pt>
                <c:pt idx="7">
                  <c:v>2545653</c:v>
                </c:pt>
                <c:pt idx="8">
                  <c:v>2585733</c:v>
                </c:pt>
                <c:pt idx="9">
                  <c:v>2491785</c:v>
                </c:pt>
                <c:pt idx="10">
                  <c:v>2609401</c:v>
                </c:pt>
                <c:pt idx="11">
                  <c:v>2743043</c:v>
                </c:pt>
                <c:pt idx="12">
                  <c:v>2802015</c:v>
                </c:pt>
                <c:pt idx="13">
                  <c:v>2874114</c:v>
                </c:pt>
                <c:pt idx="14">
                  <c:v>2992931</c:v>
                </c:pt>
                <c:pt idx="15">
                  <c:v>3091257</c:v>
                </c:pt>
                <c:pt idx="16">
                  <c:v>3199199</c:v>
                </c:pt>
                <c:pt idx="17">
                  <c:v>3349640</c:v>
                </c:pt>
                <c:pt idx="18">
                  <c:v>3455472</c:v>
                </c:pt>
                <c:pt idx="19">
                  <c:v>3563788</c:v>
                </c:pt>
                <c:pt idx="20">
                  <c:v>3470290</c:v>
                </c:pt>
                <c:pt idx="21">
                  <c:v>3703153</c:v>
                </c:pt>
                <c:pt idx="22">
                  <c:v>4003324</c:v>
                </c:pt>
                <c:pt idx="23">
                  <c:v>4256017</c:v>
                </c:pt>
                <c:pt idx="24">
                  <c:v>4389409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BB-4C9B-9AC3-0B80EEA1E849}"/>
            </c:ext>
          </c:extLst>
        </c:ser>
        <c:ser>
          <c:idx val="1"/>
          <c:order val="1"/>
          <c:tx>
            <c:strRef>
              <c:f>Germany!$D$1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Germany!$D$2:$D$26</c:f>
              <c:numCache>
                <c:formatCode>General</c:formatCode>
                <c:ptCount val="25"/>
                <c:pt idx="0">
                  <c:v>2395647.2000000002</c:v>
                </c:pt>
                <c:pt idx="1">
                  <c:v>2437867.5</c:v>
                </c:pt>
                <c:pt idx="2">
                  <c:v>2433299.2000000002</c:v>
                </c:pt>
                <c:pt idx="3">
                  <c:v>2419815.1</c:v>
                </c:pt>
                <c:pt idx="4">
                  <c:v>2436467.6</c:v>
                </c:pt>
                <c:pt idx="5">
                  <c:v>2462256.5</c:v>
                </c:pt>
                <c:pt idx="6">
                  <c:v>2561949.2999999998</c:v>
                </c:pt>
                <c:pt idx="7">
                  <c:v>2638874.1</c:v>
                </c:pt>
                <c:pt idx="8">
                  <c:v>2654937</c:v>
                </c:pt>
                <c:pt idx="9">
                  <c:v>2509045.1</c:v>
                </c:pt>
                <c:pt idx="10">
                  <c:v>2609401</c:v>
                </c:pt>
                <c:pt idx="11">
                  <c:v>2709683.2</c:v>
                </c:pt>
                <c:pt idx="12">
                  <c:v>2728840.6</c:v>
                </c:pt>
                <c:pt idx="13">
                  <c:v>2744461.5</c:v>
                </c:pt>
                <c:pt idx="14">
                  <c:v>2805691.9</c:v>
                </c:pt>
                <c:pt idx="15">
                  <c:v>2848427.8</c:v>
                </c:pt>
                <c:pt idx="16">
                  <c:v>2911352.8</c:v>
                </c:pt>
                <c:pt idx="17">
                  <c:v>3004193.2</c:v>
                </c:pt>
                <c:pt idx="18">
                  <c:v>3042508.3</c:v>
                </c:pt>
                <c:pt idx="19">
                  <c:v>3076475.8</c:v>
                </c:pt>
                <c:pt idx="20">
                  <c:v>2941047.2</c:v>
                </c:pt>
                <c:pt idx="21">
                  <c:v>3055918.6</c:v>
                </c:pt>
                <c:pt idx="22">
                  <c:v>3115527.8</c:v>
                </c:pt>
                <c:pt idx="23">
                  <c:v>3090181</c:v>
                </c:pt>
                <c:pt idx="24">
                  <c:v>3091433.5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BB-4C9B-9AC3-0B80EEA1E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832377"/>
        <c:axId val="73487828"/>
      </c:lineChart>
      <c:dateAx>
        <c:axId val="988323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487828"/>
        <c:crosses val="autoZero"/>
        <c:auto val="1"/>
        <c:lblOffset val="100"/>
        <c:baseTimeUnit val="years"/>
      </c:dateAx>
      <c:valAx>
        <c:axId val="734878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88323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GERMANY: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Germany!$L$1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Germany!$L$2:$L$26</c:f>
              <c:numCache>
                <c:formatCode>0.00</c:formatCode>
                <c:ptCount val="25"/>
                <c:pt idx="1">
                  <c:v>1.7623755284166973</c:v>
                </c:pt>
                <c:pt idx="2">
                  <c:v>-0.18738918337439642</c:v>
                </c:pt>
                <c:pt idx="3">
                  <c:v>-0.55414886915674377</c:v>
                </c:pt>
                <c:pt idx="4">
                  <c:v>0.68817241449563638</c:v>
                </c:pt>
                <c:pt idx="5">
                  <c:v>1.0584544608760611</c:v>
                </c:pt>
                <c:pt idx="6">
                  <c:v>4.048838941028273</c:v>
                </c:pt>
                <c:pt idx="7">
                  <c:v>3.0025886929144261</c:v>
                </c:pt>
                <c:pt idx="8">
                  <c:v>0.60870277971957465</c:v>
                </c:pt>
                <c:pt idx="9">
                  <c:v>-5.4951172099375585</c:v>
                </c:pt>
                <c:pt idx="10">
                  <c:v>3.999764691356082</c:v>
                </c:pt>
                <c:pt idx="11">
                  <c:v>3.8431118865977361</c:v>
                </c:pt>
                <c:pt idx="12">
                  <c:v>0.70699777745235703</c:v>
                </c:pt>
                <c:pt idx="13">
                  <c:v>0.57243724679264552</c:v>
                </c:pt>
                <c:pt idx="14">
                  <c:v>2.2310533414296359</c:v>
                </c:pt>
                <c:pt idx="15">
                  <c:v>1.5231857781675853</c:v>
                </c:pt>
                <c:pt idx="16">
                  <c:v>2.2091133923071529</c:v>
                </c:pt>
                <c:pt idx="17">
                  <c:v>3.1889092933017387</c:v>
                </c:pt>
                <c:pt idx="18">
                  <c:v>1.2753873485899518</c:v>
                </c:pt>
                <c:pt idx="19">
                  <c:v>1.1164308080934406</c:v>
                </c:pt>
                <c:pt idx="20">
                  <c:v>-4.4020694068193107</c:v>
                </c:pt>
                <c:pt idx="21">
                  <c:v>3.9057992676894102</c:v>
                </c:pt>
                <c:pt idx="22">
                  <c:v>1.9506147840456129</c:v>
                </c:pt>
                <c:pt idx="23">
                  <c:v>-0.81356359586968918</c:v>
                </c:pt>
                <c:pt idx="24">
                  <c:v>4.0531606401049004E-2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B7-4630-8653-BC504A0D2CB8}"/>
            </c:ext>
          </c:extLst>
        </c:ser>
        <c:ser>
          <c:idx val="1"/>
          <c:order val="1"/>
          <c:tx>
            <c:strRef>
              <c:f>Germany!$G$1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B7-4630-8653-BC504A0D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988273"/>
        <c:axId val="97349481"/>
      </c:lineChart>
      <c:dateAx>
        <c:axId val="65988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7349481"/>
        <c:crosses val="autoZero"/>
        <c:auto val="1"/>
        <c:lblOffset val="100"/>
        <c:baseTimeUnit val="years"/>
      </c:dateAx>
      <c:valAx>
        <c:axId val="973494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5988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GERMANY: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Germany!$D$1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Germany!$D$2:$D$26</c:f>
              <c:numCache>
                <c:formatCode>General</c:formatCode>
                <c:ptCount val="25"/>
                <c:pt idx="0">
                  <c:v>2395647.2000000002</c:v>
                </c:pt>
                <c:pt idx="1">
                  <c:v>2437867.5</c:v>
                </c:pt>
                <c:pt idx="2">
                  <c:v>2433299.2000000002</c:v>
                </c:pt>
                <c:pt idx="3">
                  <c:v>2419815.1</c:v>
                </c:pt>
                <c:pt idx="4">
                  <c:v>2436467.6</c:v>
                </c:pt>
                <c:pt idx="5">
                  <c:v>2462256.5</c:v>
                </c:pt>
                <c:pt idx="6">
                  <c:v>2561949.2999999998</c:v>
                </c:pt>
                <c:pt idx="7">
                  <c:v>2638874.1</c:v>
                </c:pt>
                <c:pt idx="8">
                  <c:v>2654937</c:v>
                </c:pt>
                <c:pt idx="9">
                  <c:v>2509045.1</c:v>
                </c:pt>
                <c:pt idx="10">
                  <c:v>2609401</c:v>
                </c:pt>
                <c:pt idx="11">
                  <c:v>2709683.2</c:v>
                </c:pt>
                <c:pt idx="12">
                  <c:v>2728840.6</c:v>
                </c:pt>
                <c:pt idx="13">
                  <c:v>2744461.5</c:v>
                </c:pt>
                <c:pt idx="14">
                  <c:v>2805691.9</c:v>
                </c:pt>
                <c:pt idx="15">
                  <c:v>2848427.8</c:v>
                </c:pt>
                <c:pt idx="16">
                  <c:v>2911352.8</c:v>
                </c:pt>
                <c:pt idx="17">
                  <c:v>3004193.2</c:v>
                </c:pt>
                <c:pt idx="18">
                  <c:v>3042508.3</c:v>
                </c:pt>
                <c:pt idx="19">
                  <c:v>3076475.8</c:v>
                </c:pt>
                <c:pt idx="20">
                  <c:v>2941047.2</c:v>
                </c:pt>
                <c:pt idx="21">
                  <c:v>3055918.6</c:v>
                </c:pt>
                <c:pt idx="22">
                  <c:v>3115527.8</c:v>
                </c:pt>
                <c:pt idx="23">
                  <c:v>3090181</c:v>
                </c:pt>
                <c:pt idx="24">
                  <c:v>3091433.5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4D-4534-B240-22AEBFBF727F}"/>
            </c:ext>
          </c:extLst>
        </c:ser>
        <c:ser>
          <c:idx val="1"/>
          <c:order val="1"/>
          <c:tx>
            <c:strRef>
              <c:f>Germany!$M$1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Germany!$M$2:$M$26</c:f>
              <c:numCache>
                <c:formatCode>#,##0.000</c:formatCode>
                <c:ptCount val="25"/>
                <c:pt idx="0">
                  <c:v>2346612.8892794438</c:v>
                </c:pt>
                <c:pt idx="1">
                  <c:v>2380212.2549522892</c:v>
                </c:pt>
                <c:pt idx="2">
                  <c:v>2413719.8190795803</c:v>
                </c:pt>
                <c:pt idx="3">
                  <c:v>2447227.3832068713</c:v>
                </c:pt>
                <c:pt idx="4">
                  <c:v>2480734.9473341624</c:v>
                </c:pt>
                <c:pt idx="5">
                  <c:v>2514334.3130070078</c:v>
                </c:pt>
                <c:pt idx="6">
                  <c:v>2547841.8771342989</c:v>
                </c:pt>
                <c:pt idx="7">
                  <c:v>2581349.44126159</c:v>
                </c:pt>
                <c:pt idx="8">
                  <c:v>2614857.0053888815</c:v>
                </c:pt>
                <c:pt idx="9">
                  <c:v>2648456.3710617269</c:v>
                </c:pt>
                <c:pt idx="10">
                  <c:v>2681963.935189018</c:v>
                </c:pt>
                <c:pt idx="11">
                  <c:v>2715471.4993163091</c:v>
                </c:pt>
                <c:pt idx="12">
                  <c:v>2748979.0634436002</c:v>
                </c:pt>
                <c:pt idx="13">
                  <c:v>2782578.4291164456</c:v>
                </c:pt>
                <c:pt idx="14">
                  <c:v>2816085.9932437367</c:v>
                </c:pt>
                <c:pt idx="15">
                  <c:v>2849593.5573710278</c:v>
                </c:pt>
                <c:pt idx="16">
                  <c:v>2883101.1214983189</c:v>
                </c:pt>
                <c:pt idx="17">
                  <c:v>2916700.4871711642</c:v>
                </c:pt>
                <c:pt idx="18">
                  <c:v>2950208.0512984553</c:v>
                </c:pt>
                <c:pt idx="19">
                  <c:v>2983715.6154257469</c:v>
                </c:pt>
                <c:pt idx="20">
                  <c:v>3017223.179553038</c:v>
                </c:pt>
                <c:pt idx="21">
                  <c:v>3050822.5452258834</c:v>
                </c:pt>
                <c:pt idx="22">
                  <c:v>3084330.1093531745</c:v>
                </c:pt>
                <c:pt idx="23">
                  <c:v>3117837.6734804655</c:v>
                </c:pt>
                <c:pt idx="24">
                  <c:v>3151345.2376077566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4D-4534-B240-22AEBFBF7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055938"/>
        <c:axId val="88746465"/>
      </c:lineChart>
      <c:dateAx>
        <c:axId val="990559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8746465"/>
        <c:crosses val="autoZero"/>
        <c:auto val="1"/>
        <c:lblOffset val="100"/>
        <c:baseTimeUnit val="years"/>
      </c:dateAx>
      <c:valAx>
        <c:axId val="887464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9055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GERMANY: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Germany!$N$1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Germany!$N$2:$N$26</c:f>
              <c:numCache>
                <c:formatCode>0.00</c:formatCode>
                <c:ptCount val="25"/>
                <c:pt idx="0">
                  <c:v>2.0895781722060258</c:v>
                </c:pt>
                <c:pt idx="1">
                  <c:v>2.4222732627207035</c:v>
                </c:pt>
                <c:pt idx="2">
                  <c:v>0.81117040866350876</c:v>
                </c:pt>
                <c:pt idx="3">
                  <c:v>-1.1201363385755316</c:v>
                </c:pt>
                <c:pt idx="4">
                  <c:v>-1.7844448630730474</c:v>
                </c:pt>
                <c:pt idx="5">
                  <c:v>-2.0712366186788249</c:v>
                </c:pt>
                <c:pt idx="6">
                  <c:v>0.5537008788617731</c:v>
                </c:pt>
                <c:pt idx="7">
                  <c:v>2.2284723570899381</c:v>
                </c:pt>
                <c:pt idx="8">
                  <c:v>1.5327795947739695</c:v>
                </c:pt>
                <c:pt idx="9">
                  <c:v>-5.2638688930276363</c:v>
                </c:pt>
                <c:pt idx="10">
                  <c:v>-2.7055895210575964</c:v>
                </c:pt>
                <c:pt idx="11">
                  <c:v>-0.21316000988286132</c:v>
                </c:pt>
                <c:pt idx="12">
                  <c:v>-0.73257973155943179</c:v>
                </c:pt>
                <c:pt idx="13">
                  <c:v>-1.3698420399438263</c:v>
                </c:pt>
                <c:pt idx="14">
                  <c:v>-0.36909715359097517</c:v>
                </c:pt>
                <c:pt idx="15">
                  <c:v>-4.0909601582039511E-2</c:v>
                </c:pt>
                <c:pt idx="16">
                  <c:v>0.97990591765989965</c:v>
                </c:pt>
                <c:pt idx="17">
                  <c:v>2.9997153706273405</c:v>
                </c:pt>
                <c:pt idx="18">
                  <c:v>3.1286013425704327</c:v>
                </c:pt>
                <c:pt idx="19">
                  <c:v>3.1088815601153383</c:v>
                </c:pt>
                <c:pt idx="20">
                  <c:v>-2.5247048368600384</c:v>
                </c:pt>
                <c:pt idx="21">
                  <c:v>0.16703871492268035</c:v>
                </c:pt>
                <c:pt idx="22">
                  <c:v>1.0114900007693384</c:v>
                </c:pt>
                <c:pt idx="23">
                  <c:v>-0.88704661296853826</c:v>
                </c:pt>
                <c:pt idx="24">
                  <c:v>-1.9011480206223521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5D-4E2F-B092-23FDE1D7534A}"/>
            </c:ext>
          </c:extLst>
        </c:ser>
        <c:ser>
          <c:idx val="1"/>
          <c:order val="1"/>
          <c:tx>
            <c:strRef>
              <c:f>Germany!$G$1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5D-4E2F-B092-23FDE1D75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302461"/>
        <c:axId val="62658527"/>
      </c:lineChart>
      <c:dateAx>
        <c:axId val="81302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2658527"/>
        <c:crosses val="autoZero"/>
        <c:auto val="1"/>
        <c:lblOffset val="100"/>
        <c:baseTimeUnit val="years"/>
      </c:dateAx>
      <c:valAx>
        <c:axId val="626585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1302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GERMANY: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Germany!$O$1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Germany!$O$2:$O$26</c:f>
              <c:numCache>
                <c:formatCode>0.00</c:formatCode>
                <c:ptCount val="25"/>
                <c:pt idx="1">
                  <c:v>1.9838525178899704</c:v>
                </c:pt>
                <c:pt idx="2">
                  <c:v>1.4208080090776163</c:v>
                </c:pt>
                <c:pt idx="3">
                  <c:v>1.0342247011877259</c:v>
                </c:pt>
                <c:pt idx="4">
                  <c:v>1.6657331325998546</c:v>
                </c:pt>
                <c:pt idx="5">
                  <c:v>1.5469109004571757</c:v>
                </c:pt>
                <c:pt idx="6">
                  <c:v>1.5774330173465598</c:v>
                </c:pt>
                <c:pt idx="7">
                  <c:v>2.2983353436697902</c:v>
                </c:pt>
                <c:pt idx="8">
                  <c:v>2.6283882274896251</c:v>
                </c:pt>
                <c:pt idx="9">
                  <c:v>0.31273714008490172</c:v>
                </c:pt>
                <c:pt idx="10">
                  <c:v>1.1038067053753207</c:v>
                </c:pt>
                <c:pt idx="11">
                  <c:v>2.0751743771216247</c:v>
                </c:pt>
                <c:pt idx="12">
                  <c:v>2.0084896115377737</c:v>
                </c:pt>
                <c:pt idx="13">
                  <c:v>1.5047233032951617</c:v>
                </c:pt>
                <c:pt idx="14">
                  <c:v>0.90679725496939112</c:v>
                </c:pt>
                <c:pt idx="15">
                  <c:v>0.51441353751660812</c:v>
                </c:pt>
                <c:pt idx="16">
                  <c:v>0.49176919945031838</c:v>
                </c:pt>
                <c:pt idx="17">
                  <c:v>1.5094893972030978</c:v>
                </c:pt>
                <c:pt idx="18">
                  <c:v>1.7321729418277612</c:v>
                </c:pt>
                <c:pt idx="19">
                  <c:v>1.4456587717239722</c:v>
                </c:pt>
                <c:pt idx="20">
                  <c:v>0.14485748793685785</c:v>
                </c:pt>
                <c:pt idx="21">
                  <c:v>3.0666789129998722</c:v>
                </c:pt>
                <c:pt idx="22">
                  <c:v>6.8725715877369922</c:v>
                </c:pt>
                <c:pt idx="23">
                  <c:v>5.9464354590163424</c:v>
                </c:pt>
                <c:pt idx="24">
                  <c:v>2.2564932777899438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FF-47CC-B675-6D52234A8A4C}"/>
            </c:ext>
          </c:extLst>
        </c:ser>
        <c:ser>
          <c:idx val="1"/>
          <c:order val="1"/>
          <c:tx>
            <c:strRef>
              <c:f>Germany!$P$1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Germany!$P$2:$P$26</c:f>
              <c:numCache>
                <c:formatCode>0.00</c:formatCode>
                <c:ptCount val="25"/>
                <c:pt idx="1">
                  <c:v>1.4365354718219436</c:v>
                </c:pt>
                <c:pt idx="2">
                  <c:v>1.4965801181764466</c:v>
                </c:pt>
                <c:pt idx="3">
                  <c:v>1.3278944733004978</c:v>
                </c:pt>
                <c:pt idx="4">
                  <c:v>1.1466019533957901</c:v>
                </c:pt>
                <c:pt idx="5">
                  <c:v>0.53505578726667635</c:v>
                </c:pt>
                <c:pt idx="6">
                  <c:v>0.44602656200358098</c:v>
                </c:pt>
                <c:pt idx="7">
                  <c:v>1.8382655052934533</c:v>
                </c:pt>
                <c:pt idx="8">
                  <c:v>0.95990294219355754</c:v>
                </c:pt>
                <c:pt idx="9">
                  <c:v>1.9700521127488329</c:v>
                </c:pt>
                <c:pt idx="10">
                  <c:v>0.69268014696292712</c:v>
                </c:pt>
                <c:pt idx="11">
                  <c:v>1.2311328497737151</c:v>
                </c:pt>
                <c:pt idx="12">
                  <c:v>1.4327478837499661</c:v>
                </c:pt>
                <c:pt idx="13">
                  <c:v>1.9892878920048069</c:v>
                </c:pt>
                <c:pt idx="14">
                  <c:v>1.861455807023096</c:v>
                </c:pt>
                <c:pt idx="15">
                  <c:v>1.735651559351671</c:v>
                </c:pt>
                <c:pt idx="16">
                  <c:v>1.2550101485780099</c:v>
                </c:pt>
                <c:pt idx="17">
                  <c:v>1.4667749190932255</c:v>
                </c:pt>
                <c:pt idx="18">
                  <c:v>1.8603891908959862</c:v>
                </c:pt>
                <c:pt idx="19">
                  <c:v>1.9959086717594987</c:v>
                </c:pt>
                <c:pt idx="20">
                  <c:v>1.8604091777435507</c:v>
                </c:pt>
                <c:pt idx="21">
                  <c:v>2.698972759715013</c:v>
                </c:pt>
                <c:pt idx="22">
                  <c:v>6.037440268215696</c:v>
                </c:pt>
                <c:pt idx="23">
                  <c:v>7.1840904018747613</c:v>
                </c:pt>
                <c:pt idx="24">
                  <c:v>3.0924129961328859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FF-47CC-B675-6D52234A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613022"/>
        <c:axId val="41121909"/>
      </c:lineChart>
      <c:dateAx>
        <c:axId val="66613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1121909"/>
        <c:crosses val="autoZero"/>
        <c:auto val="1"/>
        <c:lblOffset val="100"/>
        <c:baseTimeUnit val="years"/>
      </c:dateAx>
      <c:valAx>
        <c:axId val="411219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6613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GERMANY: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Germany!$B$1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Germany!$A$2:$A$26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Germany!$B$2:$B$26</c:f>
              <c:numCache>
                <c:formatCode>General</c:formatCode>
                <c:ptCount val="25"/>
                <c:pt idx="0">
                  <c:v>8</c:v>
                </c:pt>
                <c:pt idx="1">
                  <c:v>7.8</c:v>
                </c:pt>
                <c:pt idx="2">
                  <c:v>8.6</c:v>
                </c:pt>
                <c:pt idx="3">
                  <c:v>9.6999999999999993</c:v>
                </c:pt>
                <c:pt idx="4">
                  <c:v>10.3</c:v>
                </c:pt>
                <c:pt idx="5">
                  <c:v>11</c:v>
                </c:pt>
                <c:pt idx="6">
                  <c:v>10.1</c:v>
                </c:pt>
                <c:pt idx="7">
                  <c:v>8.6</c:v>
                </c:pt>
                <c:pt idx="8">
                  <c:v>7.4</c:v>
                </c:pt>
                <c:pt idx="9">
                  <c:v>7.4</c:v>
                </c:pt>
                <c:pt idx="10">
                  <c:v>6.6</c:v>
                </c:pt>
                <c:pt idx="11">
                  <c:v>5.5</c:v>
                </c:pt>
                <c:pt idx="12">
                  <c:v>5.0999999999999996</c:v>
                </c:pt>
                <c:pt idx="13">
                  <c:v>4.9000000000000004</c:v>
                </c:pt>
                <c:pt idx="14">
                  <c:v>4.7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3.2</c:v>
                </c:pt>
                <c:pt idx="19">
                  <c:v>3</c:v>
                </c:pt>
                <c:pt idx="20">
                  <c:v>3.7</c:v>
                </c:pt>
                <c:pt idx="21">
                  <c:v>3.6</c:v>
                </c:pt>
                <c:pt idx="22">
                  <c:v>3.1</c:v>
                </c:pt>
                <c:pt idx="23">
                  <c:v>3.1</c:v>
                </c:pt>
                <c:pt idx="24">
                  <c:v>3.4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05-4404-B259-B217DB92E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35527"/>
        <c:axId val="12742792"/>
      </c:lineChart>
      <c:dateAx>
        <c:axId val="9035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2742792"/>
        <c:crosses val="autoZero"/>
        <c:auto val="1"/>
        <c:lblOffset val="100"/>
        <c:baseTimeUnit val="years"/>
      </c:dateAx>
      <c:valAx>
        <c:axId val="127427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035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GERMANY: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GERMANY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Germany!$L$2:$L$26</c:f>
              <c:numCache>
                <c:formatCode>0.00</c:formatCode>
                <c:ptCount val="25"/>
                <c:pt idx="1">
                  <c:v>1.7623755284166973</c:v>
                </c:pt>
                <c:pt idx="2">
                  <c:v>-0.18738918337439642</c:v>
                </c:pt>
                <c:pt idx="3">
                  <c:v>-0.55414886915674377</c:v>
                </c:pt>
                <c:pt idx="4">
                  <c:v>0.68817241449563638</c:v>
                </c:pt>
                <c:pt idx="5">
                  <c:v>1.0584544608760611</c:v>
                </c:pt>
                <c:pt idx="6">
                  <c:v>4.048838941028273</c:v>
                </c:pt>
                <c:pt idx="7">
                  <c:v>3.0025886929144261</c:v>
                </c:pt>
                <c:pt idx="8">
                  <c:v>0.60870277971957465</c:v>
                </c:pt>
                <c:pt idx="9">
                  <c:v>-5.4951172099375585</c:v>
                </c:pt>
                <c:pt idx="10">
                  <c:v>3.999764691356082</c:v>
                </c:pt>
                <c:pt idx="11">
                  <c:v>3.8431118865977361</c:v>
                </c:pt>
                <c:pt idx="12">
                  <c:v>0.70699777745235703</c:v>
                </c:pt>
                <c:pt idx="13">
                  <c:v>0.57243724679264552</c:v>
                </c:pt>
                <c:pt idx="14">
                  <c:v>2.2310533414296359</c:v>
                </c:pt>
                <c:pt idx="15">
                  <c:v>1.5231857781675853</c:v>
                </c:pt>
                <c:pt idx="16">
                  <c:v>2.2091133923071529</c:v>
                </c:pt>
                <c:pt idx="17">
                  <c:v>3.1889092933017387</c:v>
                </c:pt>
                <c:pt idx="18">
                  <c:v>1.2753873485899518</c:v>
                </c:pt>
                <c:pt idx="19">
                  <c:v>1.1164308080934406</c:v>
                </c:pt>
                <c:pt idx="20">
                  <c:v>-4.4020694068193107</c:v>
                </c:pt>
                <c:pt idx="21">
                  <c:v>3.9057992676894102</c:v>
                </c:pt>
                <c:pt idx="22">
                  <c:v>1.9506147840456129</c:v>
                </c:pt>
                <c:pt idx="23">
                  <c:v>-0.81356359586968918</c:v>
                </c:pt>
                <c:pt idx="24">
                  <c:v>4.0531606401049004E-2</c:v>
                </c:pt>
              </c:numCache>
            </c:numRef>
          </c:xVal>
          <c:yVal>
            <c:numRef>
              <c:f>Germany!$Q$2:$Q$26</c:f>
              <c:numCache>
                <c:formatCode>0.00</c:formatCode>
                <c:ptCount val="25"/>
                <c:pt idx="1">
                  <c:v>-0.20000000000000018</c:v>
                </c:pt>
                <c:pt idx="2">
                  <c:v>0.79999999999999982</c:v>
                </c:pt>
                <c:pt idx="3">
                  <c:v>1.0999999999999996</c:v>
                </c:pt>
                <c:pt idx="4">
                  <c:v>0.60000000000000142</c:v>
                </c:pt>
                <c:pt idx="5">
                  <c:v>0.69999999999999929</c:v>
                </c:pt>
                <c:pt idx="6">
                  <c:v>-0.90000000000000036</c:v>
                </c:pt>
                <c:pt idx="7">
                  <c:v>-1.5</c:v>
                </c:pt>
                <c:pt idx="8">
                  <c:v>-1.1999999999999993</c:v>
                </c:pt>
                <c:pt idx="9">
                  <c:v>0</c:v>
                </c:pt>
                <c:pt idx="10">
                  <c:v>-0.80000000000000071</c:v>
                </c:pt>
                <c:pt idx="11">
                  <c:v>-1.0999999999999996</c:v>
                </c:pt>
                <c:pt idx="12">
                  <c:v>-0.40000000000000036</c:v>
                </c:pt>
                <c:pt idx="13">
                  <c:v>-0.19999999999999929</c:v>
                </c:pt>
                <c:pt idx="14">
                  <c:v>-0.20000000000000018</c:v>
                </c:pt>
                <c:pt idx="15">
                  <c:v>-0.29999999999999982</c:v>
                </c:pt>
                <c:pt idx="16">
                  <c:v>-0.50000000000000044</c:v>
                </c:pt>
                <c:pt idx="17">
                  <c:v>-0.39999999999999991</c:v>
                </c:pt>
                <c:pt idx="18">
                  <c:v>-0.29999999999999982</c:v>
                </c:pt>
                <c:pt idx="19">
                  <c:v>-0.20000000000000018</c:v>
                </c:pt>
                <c:pt idx="20">
                  <c:v>0.70000000000000018</c:v>
                </c:pt>
                <c:pt idx="21">
                  <c:v>-0.10000000000000009</c:v>
                </c:pt>
                <c:pt idx="22">
                  <c:v>-0.5</c:v>
                </c:pt>
                <c:pt idx="23">
                  <c:v>0</c:v>
                </c:pt>
                <c:pt idx="24">
                  <c:v>0.29999999999999982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AF-400A-8C60-50817E77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9494"/>
        <c:axId val="5132079"/>
      </c:scatterChart>
      <c:valAx>
        <c:axId val="501894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079"/>
        <c:crosses val="autoZero"/>
        <c:crossBetween val="midCat"/>
      </c:valAx>
      <c:valAx>
        <c:axId val="51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949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CHINA: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China!$C$1</c:f>
              <c:strCache>
                <c:ptCount val="1"/>
                <c:pt idx="0">
                  <c:v>Nominal GDP (million yuan)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China!$C$2:$C$26</c:f>
              <c:numCache>
                <c:formatCode>General</c:formatCode>
                <c:ptCount val="25"/>
                <c:pt idx="0">
                  <c:v>10130860</c:v>
                </c:pt>
                <c:pt idx="1">
                  <c:v>11215730</c:v>
                </c:pt>
                <c:pt idx="2">
                  <c:v>12331180</c:v>
                </c:pt>
                <c:pt idx="3">
                  <c:v>13937730</c:v>
                </c:pt>
                <c:pt idx="4">
                  <c:v>16422790</c:v>
                </c:pt>
                <c:pt idx="5">
                  <c:v>18990750</c:v>
                </c:pt>
                <c:pt idx="6">
                  <c:v>22257830</c:v>
                </c:pt>
                <c:pt idx="7">
                  <c:v>27417970</c:v>
                </c:pt>
                <c:pt idx="8">
                  <c:v>32431790</c:v>
                </c:pt>
                <c:pt idx="9">
                  <c:v>35452160</c:v>
                </c:pt>
                <c:pt idx="10">
                  <c:v>41925330</c:v>
                </c:pt>
                <c:pt idx="11">
                  <c:v>49570750</c:v>
                </c:pt>
                <c:pt idx="12">
                  <c:v>54751070</c:v>
                </c:pt>
                <c:pt idx="13">
                  <c:v>60366040</c:v>
                </c:pt>
                <c:pt idx="14">
                  <c:v>65578290</c:v>
                </c:pt>
                <c:pt idx="15">
                  <c:v>70251150</c:v>
                </c:pt>
                <c:pt idx="16">
                  <c:v>76119290</c:v>
                </c:pt>
                <c:pt idx="17">
                  <c:v>84738290</c:v>
                </c:pt>
                <c:pt idx="18">
                  <c:v>93601010</c:v>
                </c:pt>
                <c:pt idx="19">
                  <c:v>100587240</c:v>
                </c:pt>
                <c:pt idx="20">
                  <c:v>103486750</c:v>
                </c:pt>
                <c:pt idx="21">
                  <c:v>117382300</c:v>
                </c:pt>
                <c:pt idx="22">
                  <c:v>123402930</c:v>
                </c:pt>
                <c:pt idx="23">
                  <c:v>129427180</c:v>
                </c:pt>
                <c:pt idx="24">
                  <c:v>134806620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FE-453B-B411-C6A90DD11189}"/>
            </c:ext>
          </c:extLst>
        </c:ser>
        <c:ser>
          <c:idx val="1"/>
          <c:order val="1"/>
          <c:tx>
            <c:strRef>
              <c:f>China!$D$1</c:f>
              <c:strCache>
                <c:ptCount val="1"/>
                <c:pt idx="0">
                  <c:v>Real GDP - Reconstructed (million yuan, base 2000)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China!$D$2:$D$26</c:f>
              <c:numCache>
                <c:formatCode>General</c:formatCode>
                <c:ptCount val="25"/>
                <c:pt idx="0">
                  <c:v>10130860</c:v>
                </c:pt>
                <c:pt idx="1">
                  <c:v>10971721.379999999</c:v>
                </c:pt>
                <c:pt idx="2">
                  <c:v>11981119.746959999</c:v>
                </c:pt>
                <c:pt idx="3">
                  <c:v>13191212.841402959</c:v>
                </c:pt>
                <c:pt idx="4">
                  <c:v>14523525.338384658</c:v>
                </c:pt>
                <c:pt idx="5">
                  <c:v>16193730.752298893</c:v>
                </c:pt>
                <c:pt idx="6">
                  <c:v>18250334.557840854</c:v>
                </c:pt>
                <c:pt idx="7">
                  <c:v>20841882.065054253</c:v>
                </c:pt>
                <c:pt idx="8">
                  <c:v>22863544.625364516</c:v>
                </c:pt>
                <c:pt idx="9">
                  <c:v>25012717.820148781</c:v>
                </c:pt>
                <c:pt idx="10">
                  <c:v>27664065.909084555</c:v>
                </c:pt>
                <c:pt idx="11">
                  <c:v>30292152.170447588</c:v>
                </c:pt>
                <c:pt idx="12">
                  <c:v>32685232.191912945</c:v>
                </c:pt>
                <c:pt idx="13">
                  <c:v>35234680.302882157</c:v>
                </c:pt>
                <c:pt idx="14">
                  <c:v>37877281.325598314</c:v>
                </c:pt>
                <c:pt idx="15">
                  <c:v>40528691.018390201</c:v>
                </c:pt>
                <c:pt idx="16">
                  <c:v>43284642.007640734</c:v>
                </c:pt>
                <c:pt idx="17">
                  <c:v>46271282.306167945</c:v>
                </c:pt>
                <c:pt idx="18">
                  <c:v>49417729.50298737</c:v>
                </c:pt>
                <c:pt idx="19">
                  <c:v>52432211.002669595</c:v>
                </c:pt>
                <c:pt idx="20">
                  <c:v>53638151.855730988</c:v>
                </c:pt>
                <c:pt idx="21">
                  <c:v>58251032.915323853</c:v>
                </c:pt>
                <c:pt idx="22">
                  <c:v>60056814.935698889</c:v>
                </c:pt>
                <c:pt idx="23">
                  <c:v>63299882.942226633</c:v>
                </c:pt>
                <c:pt idx="24">
                  <c:v>66464877.089337967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FE-453B-B411-C6A90DD11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981864"/>
        <c:axId val="84872092"/>
      </c:lineChart>
      <c:dateAx>
        <c:axId val="60981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4872092"/>
        <c:crosses val="autoZero"/>
        <c:auto val="1"/>
        <c:lblOffset val="100"/>
        <c:baseTimeUnit val="years"/>
      </c:dateAx>
      <c:valAx>
        <c:axId val="848720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0981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CHINA: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China!$M$1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China!$M$2:$M$26</c:f>
              <c:numCache>
                <c:formatCode>0.00;[Red]0.00</c:formatCode>
                <c:ptCount val="25"/>
                <c:pt idx="1">
                  <c:v>8.2999999999999901</c:v>
                </c:pt>
                <c:pt idx="2">
                  <c:v>9.2000000000000028</c:v>
                </c:pt>
                <c:pt idx="3">
                  <c:v>10.1</c:v>
                </c:pt>
                <c:pt idx="4">
                  <c:v>10.100000000000001</c:v>
                </c:pt>
                <c:pt idx="5">
                  <c:v>11.499999999999998</c:v>
                </c:pt>
                <c:pt idx="6">
                  <c:v>12.700000000000006</c:v>
                </c:pt>
                <c:pt idx="7">
                  <c:v>14.199999999999987</c:v>
                </c:pt>
                <c:pt idx="8">
                  <c:v>9.7000000000000028</c:v>
                </c:pt>
                <c:pt idx="9">
                  <c:v>9.4000000000000021</c:v>
                </c:pt>
                <c:pt idx="10">
                  <c:v>10.600000000000012</c:v>
                </c:pt>
                <c:pt idx="11">
                  <c:v>9.5000000000000018</c:v>
                </c:pt>
                <c:pt idx="12">
                  <c:v>7.8999999999999932</c:v>
                </c:pt>
                <c:pt idx="13">
                  <c:v>7.8000000000000069</c:v>
                </c:pt>
                <c:pt idx="14">
                  <c:v>7.4999999999999876</c:v>
                </c:pt>
                <c:pt idx="15">
                  <c:v>7.0000000000000115</c:v>
                </c:pt>
                <c:pt idx="16">
                  <c:v>6.7999999999999989</c:v>
                </c:pt>
                <c:pt idx="17">
                  <c:v>6.9</c:v>
                </c:pt>
                <c:pt idx="18">
                  <c:v>6.8000000000000087</c:v>
                </c:pt>
                <c:pt idx="19">
                  <c:v>6.0999999999999917</c:v>
                </c:pt>
                <c:pt idx="20">
                  <c:v>2.2999999999999852</c:v>
                </c:pt>
                <c:pt idx="21">
                  <c:v>8.6000000000000014</c:v>
                </c:pt>
                <c:pt idx="22">
                  <c:v>3.0999999999999934</c:v>
                </c:pt>
                <c:pt idx="23">
                  <c:v>5.4000000000000066</c:v>
                </c:pt>
                <c:pt idx="24">
                  <c:v>5.0000000000000036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D8-4A07-A9A5-85DD7FA87BBB}"/>
            </c:ext>
          </c:extLst>
        </c:ser>
        <c:ser>
          <c:idx val="1"/>
          <c:order val="1"/>
          <c:tx>
            <c:strRef>
              <c:f>China!$H$1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China!$H$2:$H$26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D8-4A07-A9A5-85DD7FA87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524642"/>
        <c:axId val="36925912"/>
      </c:lineChart>
      <c:dateAx>
        <c:axId val="475246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6925912"/>
        <c:crosses val="autoZero"/>
        <c:auto val="1"/>
        <c:lblOffset val="100"/>
        <c:baseTimeUnit val="years"/>
      </c:dateAx>
      <c:valAx>
        <c:axId val="369259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7524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CHINA: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China!$D$1</c:f>
              <c:strCache>
                <c:ptCount val="1"/>
                <c:pt idx="0">
                  <c:v>Real GDP - Reconstructed (million yuan, base 2000)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China!$D$2:$D$26</c:f>
              <c:numCache>
                <c:formatCode>General</c:formatCode>
                <c:ptCount val="25"/>
                <c:pt idx="0">
                  <c:v>10130860</c:v>
                </c:pt>
                <c:pt idx="1">
                  <c:v>10971721.379999999</c:v>
                </c:pt>
                <c:pt idx="2">
                  <c:v>11981119.746959999</c:v>
                </c:pt>
                <c:pt idx="3">
                  <c:v>13191212.841402959</c:v>
                </c:pt>
                <c:pt idx="4">
                  <c:v>14523525.338384658</c:v>
                </c:pt>
                <c:pt idx="5">
                  <c:v>16193730.752298893</c:v>
                </c:pt>
                <c:pt idx="6">
                  <c:v>18250334.557840854</c:v>
                </c:pt>
                <c:pt idx="7">
                  <c:v>20841882.065054253</c:v>
                </c:pt>
                <c:pt idx="8">
                  <c:v>22863544.625364516</c:v>
                </c:pt>
                <c:pt idx="9">
                  <c:v>25012717.820148781</c:v>
                </c:pt>
                <c:pt idx="10">
                  <c:v>27664065.909084555</c:v>
                </c:pt>
                <c:pt idx="11">
                  <c:v>30292152.170447588</c:v>
                </c:pt>
                <c:pt idx="12">
                  <c:v>32685232.191912945</c:v>
                </c:pt>
                <c:pt idx="13">
                  <c:v>35234680.302882157</c:v>
                </c:pt>
                <c:pt idx="14">
                  <c:v>37877281.325598314</c:v>
                </c:pt>
                <c:pt idx="15">
                  <c:v>40528691.018390201</c:v>
                </c:pt>
                <c:pt idx="16">
                  <c:v>43284642.007640734</c:v>
                </c:pt>
                <c:pt idx="17">
                  <c:v>46271282.306167945</c:v>
                </c:pt>
                <c:pt idx="18">
                  <c:v>49417729.50298737</c:v>
                </c:pt>
                <c:pt idx="19">
                  <c:v>52432211.002669595</c:v>
                </c:pt>
                <c:pt idx="20">
                  <c:v>53638151.855730988</c:v>
                </c:pt>
                <c:pt idx="21">
                  <c:v>58251032.915323853</c:v>
                </c:pt>
                <c:pt idx="22">
                  <c:v>60056814.935698889</c:v>
                </c:pt>
                <c:pt idx="23">
                  <c:v>63299882.942226633</c:v>
                </c:pt>
                <c:pt idx="24">
                  <c:v>66464877.089337967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76-4298-9BCF-04FC54B26DB0}"/>
            </c:ext>
          </c:extLst>
        </c:ser>
        <c:ser>
          <c:idx val="1"/>
          <c:order val="1"/>
          <c:tx>
            <c:strRef>
              <c:f>China!$N$1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China!$N$2:$N$26</c:f>
              <c:numCache>
                <c:formatCode>0.00;[Red]0.00</c:formatCode>
                <c:ptCount val="25"/>
                <c:pt idx="0">
                  <c:v>5169482.5477323532</c:v>
                </c:pt>
                <c:pt idx="1">
                  <c:v>7614700.5223011672</c:v>
                </c:pt>
                <c:pt idx="2">
                  <c:v>10053237.573442221</c:v>
                </c:pt>
                <c:pt idx="3">
                  <c:v>12491774.624583244</c:v>
                </c:pt>
                <c:pt idx="4">
                  <c:v>14930311.675724268</c:v>
                </c:pt>
                <c:pt idx="5">
                  <c:v>17375529.650293112</c:v>
                </c:pt>
                <c:pt idx="6">
                  <c:v>19814066.701434135</c:v>
                </c:pt>
                <c:pt idx="7">
                  <c:v>22252603.752575189</c:v>
                </c:pt>
                <c:pt idx="8">
                  <c:v>24691140.803716213</c:v>
                </c:pt>
                <c:pt idx="9">
                  <c:v>27136358.778285027</c:v>
                </c:pt>
                <c:pt idx="10">
                  <c:v>29574895.82942608</c:v>
                </c:pt>
                <c:pt idx="11">
                  <c:v>32013432.880567133</c:v>
                </c:pt>
                <c:pt idx="12">
                  <c:v>34451969.931708157</c:v>
                </c:pt>
                <c:pt idx="13">
                  <c:v>36897187.906276941</c:v>
                </c:pt>
                <c:pt idx="14">
                  <c:v>39335724.957418025</c:v>
                </c:pt>
                <c:pt idx="15">
                  <c:v>41774262.008559048</c:v>
                </c:pt>
                <c:pt idx="16">
                  <c:v>44212799.059700072</c:v>
                </c:pt>
                <c:pt idx="17">
                  <c:v>46658017.034268916</c:v>
                </c:pt>
                <c:pt idx="18">
                  <c:v>49096554.085409939</c:v>
                </c:pt>
                <c:pt idx="19">
                  <c:v>51535091.136550963</c:v>
                </c:pt>
                <c:pt idx="20">
                  <c:v>53973628.187691987</c:v>
                </c:pt>
                <c:pt idx="21">
                  <c:v>56418846.16226083</c:v>
                </c:pt>
                <c:pt idx="22">
                  <c:v>58857383.213401854</c:v>
                </c:pt>
                <c:pt idx="23">
                  <c:v>61295920.264542878</c:v>
                </c:pt>
                <c:pt idx="24">
                  <c:v>63734457.315683961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76-4298-9BCF-04FC54B2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9720242"/>
        <c:axId val="83103414"/>
      </c:lineChart>
      <c:dateAx>
        <c:axId val="797202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3103414"/>
        <c:crosses val="autoZero"/>
        <c:auto val="1"/>
        <c:lblOffset val="100"/>
        <c:baseTimeUnit val="years"/>
      </c:dateAx>
      <c:valAx>
        <c:axId val="831034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97202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CHINA: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China!$O$1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China!$O$2:$O$26</c:f>
              <c:numCache>
                <c:formatCode>0.00;[Red]0.00</c:formatCode>
                <c:ptCount val="25"/>
                <c:pt idx="0">
                  <c:v>95.97435345717544</c:v>
                </c:pt>
                <c:pt idx="1">
                  <c:v>44.086052338724649</c:v>
                </c:pt>
                <c:pt idx="2">
                  <c:v>19.176729480766394</c:v>
                </c:pt>
                <c:pt idx="3">
                  <c:v>5.5991901698518651</c:v>
                </c:pt>
                <c:pt idx="4">
                  <c:v>-2.7245669492688385</c:v>
                </c:pt>
                <c:pt idx="5">
                  <c:v>-6.8015129425092509</c:v>
                </c:pt>
                <c:pt idx="6">
                  <c:v>-7.8920302790749117</c:v>
                </c:pt>
                <c:pt idx="7">
                  <c:v>-6.3395803170120262</c:v>
                </c:pt>
                <c:pt idx="8">
                  <c:v>-7.4018296395467837</c:v>
                </c:pt>
                <c:pt idx="9">
                  <c:v>-7.8258139770602506</c:v>
                </c:pt>
                <c:pt idx="10">
                  <c:v>-6.4609861396039481</c:v>
                </c:pt>
                <c:pt idx="11">
                  <c:v>-5.3767451823774923</c:v>
                </c:pt>
                <c:pt idx="12">
                  <c:v>-5.1281181984580222</c:v>
                </c:pt>
                <c:pt idx="13">
                  <c:v>-4.5057840386582919</c:v>
                </c:pt>
                <c:pt idx="14">
                  <c:v>-3.7076820966145005</c:v>
                </c:pt>
                <c:pt idx="15">
                  <c:v>-2.981670842955034</c:v>
                </c:pt>
                <c:pt idx="16">
                  <c:v>-2.0992949367581475</c:v>
                </c:pt>
                <c:pt idx="17">
                  <c:v>-0.82887090511567452</c:v>
                </c:pt>
                <c:pt idx="18">
                  <c:v>0.65417099745677376</c:v>
                </c:pt>
                <c:pt idx="19">
                  <c:v>1.7407941779739189</c:v>
                </c:pt>
                <c:pt idx="20">
                  <c:v>-0.62155601397480198</c:v>
                </c:pt>
                <c:pt idx="21">
                  <c:v>3.2474729238411695</c:v>
                </c:pt>
                <c:pt idx="22">
                  <c:v>2.0378611090272258</c:v>
                </c:pt>
                <c:pt idx="23">
                  <c:v>3.2693247267273096</c:v>
                </c:pt>
                <c:pt idx="24">
                  <c:v>4.2840558916661502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8F-4EAD-8FB8-86747EFB8BDD}"/>
            </c:ext>
          </c:extLst>
        </c:ser>
        <c:ser>
          <c:idx val="1"/>
          <c:order val="1"/>
          <c:tx>
            <c:strRef>
              <c:f>China!$H$1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China!$H$2:$H$26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8F-4EAD-8FB8-86747EFB8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7327900"/>
        <c:axId val="40854190"/>
      </c:lineChart>
      <c:dateAx>
        <c:axId val="673279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0854190"/>
        <c:crosses val="autoZero"/>
        <c:auto val="1"/>
        <c:lblOffset val="100"/>
        <c:baseTimeUnit val="years"/>
      </c:dateAx>
      <c:valAx>
        <c:axId val="408541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7327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CHINA: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China!$P$1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China!$P$2:$P$26</c:f>
              <c:numCache>
                <c:formatCode>0.00;[Red]0.00</c:formatCode>
                <c:ptCount val="25"/>
                <c:pt idx="1">
                  <c:v>0.71913243681150751</c:v>
                </c:pt>
                <c:pt idx="2">
                  <c:v>-0.73197550008355039</c:v>
                </c:pt>
                <c:pt idx="3">
                  <c:v>1.1276019609049763</c:v>
                </c:pt>
                <c:pt idx="4">
                  <c:v>3.8246376240093651</c:v>
                </c:pt>
                <c:pt idx="5">
                  <c:v>1.7764161684314124</c:v>
                </c:pt>
                <c:pt idx="6">
                  <c:v>1.6494331013997856</c:v>
                </c:pt>
                <c:pt idx="7">
                  <c:v>4.8167653134375419</c:v>
                </c:pt>
                <c:pt idx="8">
                  <c:v>5.9252552887091978</c:v>
                </c:pt>
                <c:pt idx="9">
                  <c:v>-0.72817133417304913</c:v>
                </c:pt>
                <c:pt idx="10">
                  <c:v>3.1753279807556982</c:v>
                </c:pt>
                <c:pt idx="11">
                  <c:v>5.5538970590433125</c:v>
                </c:pt>
                <c:pt idx="12">
                  <c:v>2.6195261648854338</c:v>
                </c:pt>
                <c:pt idx="13">
                  <c:v>2.6210490270108648</c:v>
                </c:pt>
                <c:pt idx="14">
                  <c:v>1.9216434159389519</c:v>
                </c:pt>
                <c:pt idx="15">
                  <c:v>1.437024513947625</c:v>
                </c:pt>
                <c:pt idx="16">
                  <c:v>2</c:v>
                </c:pt>
                <c:pt idx="17">
                  <c:v>1.5931372549019607</c:v>
                </c:pt>
                <c:pt idx="18">
                  <c:v>2.0747889022919233</c:v>
                </c:pt>
                <c:pt idx="19">
                  <c:v>2.8992357992587992</c:v>
                </c:pt>
                <c:pt idx="20">
                  <c:v>2.4194165837222403</c:v>
                </c:pt>
                <c:pt idx="21">
                  <c:v>0.9810271361300863</c:v>
                </c:pt>
                <c:pt idx="22">
                  <c:v>1.9735669331110046</c:v>
                </c:pt>
                <c:pt idx="23">
                  <c:v>0.23484144191731043</c:v>
                </c:pt>
                <c:pt idx="24">
                  <c:v>0.2181257208661424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26-4B7E-A346-8E08410EAADE}"/>
            </c:ext>
          </c:extLst>
        </c:ser>
        <c:ser>
          <c:idx val="1"/>
          <c:order val="1"/>
          <c:tx>
            <c:strRef>
              <c:f>China!$Q$1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China!$Q$2:$Q$26</c:f>
              <c:numCache>
                <c:formatCode>0.00;[Red]0.00</c:formatCode>
                <c:ptCount val="25"/>
                <c:pt idx="1">
                  <c:v>2.2239775469034271</c:v>
                </c:pt>
                <c:pt idx="2">
                  <c:v>0.68260717126191139</c:v>
                </c:pt>
                <c:pt idx="3">
                  <c:v>2.6597236708206422</c:v>
                </c:pt>
                <c:pt idx="4">
                  <c:v>7.0206472981502994</c:v>
                </c:pt>
                <c:pt idx="5">
                  <c:v>3.7099224934926336</c:v>
                </c:pt>
                <c:pt idx="6">
                  <c:v>3.996036645169597</c:v>
                </c:pt>
                <c:pt idx="7">
                  <c:v>7.8664465391428102</c:v>
                </c:pt>
                <c:pt idx="8">
                  <c:v>7.827365590218097</c:v>
                </c:pt>
                <c:pt idx="9">
                  <c:v>-7.9532015677002063E-2</c:v>
                </c:pt>
                <c:pt idx="10">
                  <c:v>6.9248530468011538</c:v>
                </c:pt>
                <c:pt idx="11">
                  <c:v>7.9779010068636538</c:v>
                </c:pt>
                <c:pt idx="12">
                  <c:v>2.3636295726709919</c:v>
                </c:pt>
                <c:pt idx="13">
                  <c:v>2.2777852892771127</c:v>
                </c:pt>
                <c:pt idx="14">
                  <c:v>1.0552629675829204</c:v>
                </c:pt>
                <c:pt idx="15">
                  <c:v>0.11740222843835409</c:v>
                </c:pt>
                <c:pt idx="16">
                  <c:v>1.4542017400325669</c:v>
                </c:pt>
                <c:pt idx="17">
                  <c:v>4.1375274152565495</c:v>
                </c:pt>
                <c:pt idx="18">
                  <c:v>3.4259661495247755</c:v>
                </c:pt>
                <c:pt idx="19">
                  <c:v>1.2854292185367424</c:v>
                </c:pt>
                <c:pt idx="20">
                  <c:v>0.56948418725621996</c:v>
                </c:pt>
                <c:pt idx="21">
                  <c:v>4.4450931278864401</c:v>
                </c:pt>
                <c:pt idx="22">
                  <c:v>1.9680681223200589</c:v>
                </c:pt>
                <c:pt idx="23">
                  <c:v>-0.49167717634074837</c:v>
                </c:pt>
                <c:pt idx="24">
                  <c:v>-0.80348104404567799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26-4B7E-A346-8E08410EA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61689"/>
        <c:axId val="61742304"/>
      </c:lineChart>
      <c:dateAx>
        <c:axId val="9761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1742304"/>
        <c:crosses val="autoZero"/>
        <c:auto val="1"/>
        <c:lblOffset val="100"/>
        <c:baseTimeUnit val="years"/>
      </c:dateAx>
      <c:valAx>
        <c:axId val="617423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761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CHINA: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China!$B$1</c:f>
              <c:strCache>
                <c:ptCount val="1"/>
                <c:pt idx="0">
                  <c:v>Youth Unemployment Rate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China!$A$2:$A$26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China!$B$2:$B$26</c:f>
              <c:numCache>
                <c:formatCode>General</c:formatCode>
                <c:ptCount val="25"/>
                <c:pt idx="0">
                  <c:v>6.84</c:v>
                </c:pt>
                <c:pt idx="1">
                  <c:v>7.9939999999999998</c:v>
                </c:pt>
                <c:pt idx="2">
                  <c:v>8.9190000000000005</c:v>
                </c:pt>
                <c:pt idx="3">
                  <c:v>9.6240000000000006</c:v>
                </c:pt>
                <c:pt idx="4">
                  <c:v>9.4329999999999998</c:v>
                </c:pt>
                <c:pt idx="5">
                  <c:v>9.4949999999999992</c:v>
                </c:pt>
                <c:pt idx="6">
                  <c:v>9.3309999999999995</c:v>
                </c:pt>
                <c:pt idx="7">
                  <c:v>9.2240000000000002</c:v>
                </c:pt>
                <c:pt idx="8">
                  <c:v>9.8030000000000008</c:v>
                </c:pt>
                <c:pt idx="9">
                  <c:v>10.15</c:v>
                </c:pt>
                <c:pt idx="10">
                  <c:v>9.8230000000000004</c:v>
                </c:pt>
                <c:pt idx="11">
                  <c:v>9.9760000000000009</c:v>
                </c:pt>
                <c:pt idx="12">
                  <c:v>10.154</c:v>
                </c:pt>
                <c:pt idx="13">
                  <c:v>10.316000000000001</c:v>
                </c:pt>
                <c:pt idx="14">
                  <c:v>10.507</c:v>
                </c:pt>
                <c:pt idx="15">
                  <c:v>10.68</c:v>
                </c:pt>
                <c:pt idx="16">
                  <c:v>10.574</c:v>
                </c:pt>
                <c:pt idx="17">
                  <c:v>10.430999999999999</c:v>
                </c:pt>
                <c:pt idx="18">
                  <c:v>9.6739999999999995</c:v>
                </c:pt>
                <c:pt idx="19">
                  <c:v>10.680999999999999</c:v>
                </c:pt>
                <c:pt idx="20">
                  <c:v>12.65</c:v>
                </c:pt>
                <c:pt idx="21">
                  <c:v>12.404</c:v>
                </c:pt>
                <c:pt idx="22">
                  <c:v>14.673</c:v>
                </c:pt>
                <c:pt idx="23">
                  <c:v>15.561999999999999</c:v>
                </c:pt>
                <c:pt idx="24">
                  <c:v>15.044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A1-40B5-8904-081F0CB9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544103"/>
        <c:axId val="15561554"/>
      </c:lineChart>
      <c:dateAx>
        <c:axId val="665441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5561554"/>
        <c:crosses val="autoZero"/>
        <c:auto val="1"/>
        <c:lblOffset val="100"/>
        <c:baseTimeUnit val="years"/>
      </c:dateAx>
      <c:valAx>
        <c:axId val="155615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65441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CHINA: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CHINA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China!$M$2:$M$26</c:f>
              <c:numCache>
                <c:formatCode>0.00;[Red]0.00</c:formatCode>
                <c:ptCount val="25"/>
                <c:pt idx="1">
                  <c:v>8.2999999999999901</c:v>
                </c:pt>
                <c:pt idx="2">
                  <c:v>9.2000000000000028</c:v>
                </c:pt>
                <c:pt idx="3">
                  <c:v>10.1</c:v>
                </c:pt>
                <c:pt idx="4">
                  <c:v>10.100000000000001</c:v>
                </c:pt>
                <c:pt idx="5">
                  <c:v>11.499999999999998</c:v>
                </c:pt>
                <c:pt idx="6">
                  <c:v>12.700000000000006</c:v>
                </c:pt>
                <c:pt idx="7">
                  <c:v>14.199999999999987</c:v>
                </c:pt>
                <c:pt idx="8">
                  <c:v>9.7000000000000028</c:v>
                </c:pt>
                <c:pt idx="9">
                  <c:v>9.4000000000000021</c:v>
                </c:pt>
                <c:pt idx="10">
                  <c:v>10.600000000000012</c:v>
                </c:pt>
                <c:pt idx="11">
                  <c:v>9.5000000000000018</c:v>
                </c:pt>
                <c:pt idx="12">
                  <c:v>7.8999999999999932</c:v>
                </c:pt>
                <c:pt idx="13">
                  <c:v>7.8000000000000069</c:v>
                </c:pt>
                <c:pt idx="14">
                  <c:v>7.4999999999999876</c:v>
                </c:pt>
                <c:pt idx="15">
                  <c:v>7.0000000000000115</c:v>
                </c:pt>
                <c:pt idx="16">
                  <c:v>6.7999999999999989</c:v>
                </c:pt>
                <c:pt idx="17">
                  <c:v>6.9</c:v>
                </c:pt>
                <c:pt idx="18">
                  <c:v>6.8000000000000087</c:v>
                </c:pt>
                <c:pt idx="19">
                  <c:v>6.0999999999999917</c:v>
                </c:pt>
                <c:pt idx="20">
                  <c:v>2.2999999999999852</c:v>
                </c:pt>
                <c:pt idx="21">
                  <c:v>8.6000000000000014</c:v>
                </c:pt>
                <c:pt idx="22">
                  <c:v>3.0999999999999934</c:v>
                </c:pt>
                <c:pt idx="23">
                  <c:v>5.4000000000000066</c:v>
                </c:pt>
                <c:pt idx="24">
                  <c:v>5.0000000000000036</c:v>
                </c:pt>
              </c:numCache>
            </c:numRef>
          </c:xVal>
          <c:yVal>
            <c:numRef>
              <c:f>China!$R$2:$R$26</c:f>
              <c:numCache>
                <c:formatCode>0.00;[Red]0.00</c:formatCode>
                <c:ptCount val="25"/>
                <c:pt idx="1">
                  <c:v>1.1539999999999999</c:v>
                </c:pt>
                <c:pt idx="2">
                  <c:v>0.92500000000000071</c:v>
                </c:pt>
                <c:pt idx="3">
                  <c:v>0.70500000000000007</c:v>
                </c:pt>
                <c:pt idx="4">
                  <c:v>-0.19100000000000072</c:v>
                </c:pt>
                <c:pt idx="5">
                  <c:v>6.1999999999999389E-2</c:v>
                </c:pt>
                <c:pt idx="6">
                  <c:v>-0.1639999999999997</c:v>
                </c:pt>
                <c:pt idx="7">
                  <c:v>-0.10699999999999932</c:v>
                </c:pt>
                <c:pt idx="8">
                  <c:v>0.57900000000000063</c:v>
                </c:pt>
                <c:pt idx="9">
                  <c:v>0.34699999999999953</c:v>
                </c:pt>
                <c:pt idx="10">
                  <c:v>-0.32699999999999996</c:v>
                </c:pt>
                <c:pt idx="11">
                  <c:v>0.15300000000000047</c:v>
                </c:pt>
                <c:pt idx="12">
                  <c:v>0.17799999999999905</c:v>
                </c:pt>
                <c:pt idx="13">
                  <c:v>0.16200000000000081</c:v>
                </c:pt>
                <c:pt idx="14">
                  <c:v>0.19099999999999895</c:v>
                </c:pt>
                <c:pt idx="15">
                  <c:v>0.17300000000000004</c:v>
                </c:pt>
                <c:pt idx="16">
                  <c:v>-0.10599999999999987</c:v>
                </c:pt>
                <c:pt idx="17">
                  <c:v>-0.14300000000000068</c:v>
                </c:pt>
                <c:pt idx="18">
                  <c:v>-0.75699999999999967</c:v>
                </c:pt>
                <c:pt idx="19">
                  <c:v>1.0069999999999997</c:v>
                </c:pt>
                <c:pt idx="20">
                  <c:v>1.9690000000000012</c:v>
                </c:pt>
                <c:pt idx="21">
                  <c:v>-0.24600000000000044</c:v>
                </c:pt>
                <c:pt idx="22">
                  <c:v>2.2690000000000001</c:v>
                </c:pt>
                <c:pt idx="23">
                  <c:v>0.88899999999999935</c:v>
                </c:pt>
                <c:pt idx="24">
                  <c:v>-0.51799999999999891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E6-4180-9F26-40F634AC7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68174"/>
        <c:axId val="31420661"/>
      </c:scatterChart>
      <c:valAx>
        <c:axId val="839681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0661"/>
        <c:crosses val="autoZero"/>
        <c:crossBetween val="midCat"/>
      </c:valAx>
      <c:valAx>
        <c:axId val="314206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817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ITALY: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Italy!$C$1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Italy!$C$2:$C$26</c:f>
              <c:numCache>
                <c:formatCode>General</c:formatCode>
                <c:ptCount val="25"/>
                <c:pt idx="0">
                  <c:v>1245557</c:v>
                </c:pt>
                <c:pt idx="1">
                  <c:v>1307586</c:v>
                </c:pt>
                <c:pt idx="2">
                  <c:v>1354153</c:v>
                </c:pt>
                <c:pt idx="3">
                  <c:v>1399084</c:v>
                </c:pt>
                <c:pt idx="4">
                  <c:v>1453947</c:v>
                </c:pt>
                <c:pt idx="5">
                  <c:v>1501176</c:v>
                </c:pt>
                <c:pt idx="6">
                  <c:v>1563447</c:v>
                </c:pt>
                <c:pt idx="7">
                  <c:v>1622562</c:v>
                </c:pt>
                <c:pt idx="8">
                  <c:v>1643974</c:v>
                </c:pt>
                <c:pt idx="9">
                  <c:v>1584007</c:v>
                </c:pt>
                <c:pt idx="10">
                  <c:v>1617083</c:v>
                </c:pt>
                <c:pt idx="11">
                  <c:v>1659112</c:v>
                </c:pt>
                <c:pt idx="12">
                  <c:v>1633776</c:v>
                </c:pt>
                <c:pt idx="13">
                  <c:v>1621988</c:v>
                </c:pt>
                <c:pt idx="14">
                  <c:v>1637868</c:v>
                </c:pt>
                <c:pt idx="15">
                  <c:v>1662999</c:v>
                </c:pt>
                <c:pt idx="16">
                  <c:v>1706584</c:v>
                </c:pt>
                <c:pt idx="17">
                  <c:v>1747721</c:v>
                </c:pt>
                <c:pt idx="18">
                  <c:v>1778474</c:v>
                </c:pt>
                <c:pt idx="19">
                  <c:v>1804609</c:v>
                </c:pt>
                <c:pt idx="20">
                  <c:v>1668953</c:v>
                </c:pt>
                <c:pt idx="21">
                  <c:v>1839200</c:v>
                </c:pt>
                <c:pt idx="22">
                  <c:v>1997356</c:v>
                </c:pt>
                <c:pt idx="23">
                  <c:v>2144028</c:v>
                </c:pt>
                <c:pt idx="24">
                  <c:v>2199105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26-4719-AF0E-6FA306CEF7F9}"/>
            </c:ext>
          </c:extLst>
        </c:ser>
        <c:ser>
          <c:idx val="1"/>
          <c:order val="1"/>
          <c:tx>
            <c:strRef>
              <c:f>Italy!$D$1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Italy!$D$2:$D$26</c:f>
              <c:numCache>
                <c:formatCode>General</c:formatCode>
                <c:ptCount val="25"/>
                <c:pt idx="0">
                  <c:v>1573989</c:v>
                </c:pt>
                <c:pt idx="1">
                  <c:v>1603251.6</c:v>
                </c:pt>
                <c:pt idx="2">
                  <c:v>1607214.9</c:v>
                </c:pt>
                <c:pt idx="3">
                  <c:v>1609558.9</c:v>
                </c:pt>
                <c:pt idx="4">
                  <c:v>1629745.2</c:v>
                </c:pt>
                <c:pt idx="5">
                  <c:v>1648378.7</c:v>
                </c:pt>
                <c:pt idx="6">
                  <c:v>1679634.6</c:v>
                </c:pt>
                <c:pt idx="7">
                  <c:v>1701173.5</c:v>
                </c:pt>
                <c:pt idx="8">
                  <c:v>1683152</c:v>
                </c:pt>
                <c:pt idx="9">
                  <c:v>1593498</c:v>
                </c:pt>
                <c:pt idx="10">
                  <c:v>1617083.2</c:v>
                </c:pt>
                <c:pt idx="11">
                  <c:v>1630941</c:v>
                </c:pt>
                <c:pt idx="12">
                  <c:v>1579157.7</c:v>
                </c:pt>
                <c:pt idx="13">
                  <c:v>1550312.3</c:v>
                </c:pt>
                <c:pt idx="14">
                  <c:v>1551479.1</c:v>
                </c:pt>
                <c:pt idx="15">
                  <c:v>1563047.2</c:v>
                </c:pt>
                <c:pt idx="16">
                  <c:v>1584219.1</c:v>
                </c:pt>
                <c:pt idx="17">
                  <c:v>1611022.9</c:v>
                </c:pt>
                <c:pt idx="18">
                  <c:v>1622001.5</c:v>
                </c:pt>
                <c:pt idx="19">
                  <c:v>1628787.7</c:v>
                </c:pt>
                <c:pt idx="20">
                  <c:v>1482978</c:v>
                </c:pt>
                <c:pt idx="21">
                  <c:v>1613527.7</c:v>
                </c:pt>
                <c:pt idx="22">
                  <c:v>1693790.8</c:v>
                </c:pt>
                <c:pt idx="23">
                  <c:v>1711057.8</c:v>
                </c:pt>
                <c:pt idx="24">
                  <c:v>1721090.6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26-4719-AF0E-6FA306CEF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891313"/>
        <c:axId val="7990334"/>
      </c:lineChart>
      <c:dateAx>
        <c:axId val="34891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990334"/>
        <c:crosses val="autoZero"/>
        <c:auto val="1"/>
        <c:lblOffset val="100"/>
        <c:baseTimeUnit val="years"/>
      </c:dateAx>
      <c:valAx>
        <c:axId val="79903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4891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ITALY: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Italy!$L$1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Italy!$L$2:$L$26</c:f>
              <c:numCache>
                <c:formatCode>0.00;[Red]0.00</c:formatCode>
                <c:ptCount val="25"/>
                <c:pt idx="1">
                  <c:v>1.8591362455519127</c:v>
                </c:pt>
                <c:pt idx="2">
                  <c:v>0.24720386993531229</c:v>
                </c:pt>
                <c:pt idx="3">
                  <c:v>0.14584235126242295</c:v>
                </c:pt>
                <c:pt idx="4">
                  <c:v>1.254151059647463</c:v>
                </c:pt>
                <c:pt idx="5">
                  <c:v>1.143338234713009</c:v>
                </c:pt>
                <c:pt idx="6">
                  <c:v>1.8961601481504307</c:v>
                </c:pt>
                <c:pt idx="7">
                  <c:v>1.2823562934461998</c:v>
                </c:pt>
                <c:pt idx="8">
                  <c:v>-1.0593569674110255</c:v>
                </c:pt>
                <c:pt idx="9">
                  <c:v>-5.3265539891822016</c:v>
                </c:pt>
                <c:pt idx="10">
                  <c:v>1.480089714577612</c:v>
                </c:pt>
                <c:pt idx="11">
                  <c:v>0.85696270915436179</c:v>
                </c:pt>
                <c:pt idx="12">
                  <c:v>-3.1750566084242191</c:v>
                </c:pt>
                <c:pt idx="13">
                  <c:v>-1.8266320076835838</c:v>
                </c:pt>
                <c:pt idx="14">
                  <c:v>7.5262255224321353E-2</c:v>
                </c:pt>
                <c:pt idx="15">
                  <c:v>0.7456175207258583</c:v>
                </c:pt>
                <c:pt idx="16">
                  <c:v>1.3545272337265399</c:v>
                </c:pt>
                <c:pt idx="17">
                  <c:v>1.6919250626381044</c:v>
                </c:pt>
                <c:pt idx="18">
                  <c:v>0.6814676563567218</c:v>
                </c:pt>
                <c:pt idx="19">
                  <c:v>0.41838432331905695</c:v>
                </c:pt>
                <c:pt idx="20">
                  <c:v>-8.9520383779911867</c:v>
                </c:pt>
                <c:pt idx="21">
                  <c:v>8.8032121852111054</c:v>
                </c:pt>
                <c:pt idx="22">
                  <c:v>4.9743862469792175</c:v>
                </c:pt>
                <c:pt idx="23">
                  <c:v>1.0194293179535514</c:v>
                </c:pt>
                <c:pt idx="24">
                  <c:v>0.58635073578461494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96-4B8B-B956-B4D98AD7C243}"/>
            </c:ext>
          </c:extLst>
        </c:ser>
        <c:ser>
          <c:idx val="1"/>
          <c:order val="1"/>
          <c:tx>
            <c:strRef>
              <c:f>Italy!$G$1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96-4B8B-B956-B4D98AD7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397541"/>
        <c:axId val="81128627"/>
      </c:lineChart>
      <c:dateAx>
        <c:axId val="373975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1128627"/>
        <c:crosses val="autoZero"/>
        <c:auto val="1"/>
        <c:lblOffset val="100"/>
        <c:baseTimeUnit val="years"/>
      </c:dateAx>
      <c:valAx>
        <c:axId val="811286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73975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ITALY: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Italy!$D$1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Italy!$D$2:$D$26</c:f>
              <c:numCache>
                <c:formatCode>General</c:formatCode>
                <c:ptCount val="25"/>
                <c:pt idx="0">
                  <c:v>1573989</c:v>
                </c:pt>
                <c:pt idx="1">
                  <c:v>1603251.6</c:v>
                </c:pt>
                <c:pt idx="2">
                  <c:v>1607214.9</c:v>
                </c:pt>
                <c:pt idx="3">
                  <c:v>1609558.9</c:v>
                </c:pt>
                <c:pt idx="4">
                  <c:v>1629745.2</c:v>
                </c:pt>
                <c:pt idx="5">
                  <c:v>1648378.7</c:v>
                </c:pt>
                <c:pt idx="6">
                  <c:v>1679634.6</c:v>
                </c:pt>
                <c:pt idx="7">
                  <c:v>1701173.5</c:v>
                </c:pt>
                <c:pt idx="8">
                  <c:v>1683152</c:v>
                </c:pt>
                <c:pt idx="9">
                  <c:v>1593498</c:v>
                </c:pt>
                <c:pt idx="10">
                  <c:v>1617083.2</c:v>
                </c:pt>
                <c:pt idx="11">
                  <c:v>1630941</c:v>
                </c:pt>
                <c:pt idx="12">
                  <c:v>1579157.7</c:v>
                </c:pt>
                <c:pt idx="13">
                  <c:v>1550312.3</c:v>
                </c:pt>
                <c:pt idx="14">
                  <c:v>1551479.1</c:v>
                </c:pt>
                <c:pt idx="15">
                  <c:v>1563047.2</c:v>
                </c:pt>
                <c:pt idx="16">
                  <c:v>1584219.1</c:v>
                </c:pt>
                <c:pt idx="17">
                  <c:v>1611022.9</c:v>
                </c:pt>
                <c:pt idx="18">
                  <c:v>1622001.5</c:v>
                </c:pt>
                <c:pt idx="19">
                  <c:v>1628787.7</c:v>
                </c:pt>
                <c:pt idx="20">
                  <c:v>1482978</c:v>
                </c:pt>
                <c:pt idx="21">
                  <c:v>1613527.7</c:v>
                </c:pt>
                <c:pt idx="22">
                  <c:v>1693790.8</c:v>
                </c:pt>
                <c:pt idx="23">
                  <c:v>1711057.8</c:v>
                </c:pt>
                <c:pt idx="24">
                  <c:v>1721090.6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C5-4141-B0E0-40EC555B9CD0}"/>
            </c:ext>
          </c:extLst>
        </c:ser>
        <c:ser>
          <c:idx val="1"/>
          <c:order val="1"/>
          <c:tx>
            <c:strRef>
              <c:f>Italy!$M$1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Italy!$M$2:$M$26</c:f>
              <c:numCache>
                <c:formatCode>0.00;[Red]0.00</c:formatCode>
                <c:ptCount val="25"/>
                <c:pt idx="0">
                  <c:v>1609949.4674227303</c:v>
                </c:pt>
                <c:pt idx="1">
                  <c:v>1610755.574254768</c:v>
                </c:pt>
                <c:pt idx="2">
                  <c:v>1611559.4786091223</c:v>
                </c:pt>
                <c:pt idx="3">
                  <c:v>1612363.3829634769</c:v>
                </c:pt>
                <c:pt idx="4">
                  <c:v>1613167.2873178315</c:v>
                </c:pt>
                <c:pt idx="5">
                  <c:v>1613973.3941498692</c:v>
                </c:pt>
                <c:pt idx="6">
                  <c:v>1614777.2985042236</c:v>
                </c:pt>
                <c:pt idx="7">
                  <c:v>1615581.2028585782</c:v>
                </c:pt>
                <c:pt idx="8">
                  <c:v>1616385.1072129328</c:v>
                </c:pt>
                <c:pt idx="9">
                  <c:v>1617191.2140449705</c:v>
                </c:pt>
                <c:pt idx="10">
                  <c:v>1617995.1183993248</c:v>
                </c:pt>
                <c:pt idx="11">
                  <c:v>1618799.0227536794</c:v>
                </c:pt>
                <c:pt idx="12">
                  <c:v>1619602.927108034</c:v>
                </c:pt>
                <c:pt idx="13">
                  <c:v>1620409.0339400717</c:v>
                </c:pt>
                <c:pt idx="14">
                  <c:v>1621212.9382944261</c:v>
                </c:pt>
                <c:pt idx="15">
                  <c:v>1622016.8426487807</c:v>
                </c:pt>
                <c:pt idx="16">
                  <c:v>1622820.7470031353</c:v>
                </c:pt>
                <c:pt idx="17">
                  <c:v>1623626.853835173</c:v>
                </c:pt>
                <c:pt idx="18">
                  <c:v>1624430.7581895273</c:v>
                </c:pt>
                <c:pt idx="19">
                  <c:v>1625234.6625438819</c:v>
                </c:pt>
                <c:pt idx="20">
                  <c:v>1626038.5668982365</c:v>
                </c:pt>
                <c:pt idx="21">
                  <c:v>1626844.6737302742</c:v>
                </c:pt>
                <c:pt idx="22">
                  <c:v>1627648.5780846286</c:v>
                </c:pt>
                <c:pt idx="23">
                  <c:v>1628452.4824389832</c:v>
                </c:pt>
                <c:pt idx="24">
                  <c:v>1629256.3867933378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C5-4141-B0E0-40EC555B9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26120"/>
        <c:axId val="17093626"/>
      </c:lineChart>
      <c:dateAx>
        <c:axId val="7226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7093626"/>
        <c:crosses val="autoZero"/>
        <c:auto val="1"/>
        <c:lblOffset val="100"/>
        <c:baseTimeUnit val="years"/>
      </c:dateAx>
      <c:valAx>
        <c:axId val="170936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226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ITALY: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Italy!$N$1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Italy!$N$2:$N$26</c:f>
              <c:numCache>
                <c:formatCode>0.00;[Red]0.00</c:formatCode>
                <c:ptCount val="25"/>
                <c:pt idx="0">
                  <c:v>-2.2336395116982897</c:v>
                </c:pt>
                <c:pt idx="1">
                  <c:v>-0.46586672582149302</c:v>
                </c:pt>
                <c:pt idx="2">
                  <c:v>-0.26958847419470205</c:v>
                </c:pt>
                <c:pt idx="3">
                  <c:v>-0.17393616061426989</c:v>
                </c:pt>
                <c:pt idx="4">
                  <c:v>1.0276623393307247</c:v>
                </c:pt>
                <c:pt idx="5">
                  <c:v>2.1317145607752161</c:v>
                </c:pt>
                <c:pt idx="6">
                  <c:v>4.0164858371401531</c:v>
                </c:pt>
                <c:pt idx="7">
                  <c:v>5.2979260336760827</c:v>
                </c:pt>
                <c:pt idx="8">
                  <c:v>4.1306302866270936</c:v>
                </c:pt>
                <c:pt idx="9">
                  <c:v>-1.4650842670427471</c:v>
                </c:pt>
                <c:pt idx="10">
                  <c:v>-5.6361010546622056E-2</c:v>
                </c:pt>
                <c:pt idx="11">
                  <c:v>0.75006082136535412</c:v>
                </c:pt>
                <c:pt idx="12">
                  <c:v>-2.4972310454052553</c:v>
                </c:pt>
                <c:pt idx="13">
                  <c:v>-4.3258666467459399</c:v>
                </c:pt>
                <c:pt idx="14">
                  <c:v>-4.3013373904965544</c:v>
                </c:pt>
                <c:pt idx="15">
                  <c:v>-3.6355752356111362</c:v>
                </c:pt>
                <c:pt idx="16">
                  <c:v>-2.3786759612496251</c:v>
                </c:pt>
                <c:pt idx="17">
                  <c:v>-0.77628389832314082</c:v>
                </c:pt>
                <c:pt idx="18">
                  <c:v>-0.14954519774267219</c:v>
                </c:pt>
                <c:pt idx="19">
                  <c:v>0.21861688887170797</c:v>
                </c:pt>
                <c:pt idx="20">
                  <c:v>-8.7981041661965556</c:v>
                </c:pt>
                <c:pt idx="21">
                  <c:v>-0.818576840512935</c:v>
                </c:pt>
                <c:pt idx="22">
                  <c:v>4.0636672317316682</c:v>
                </c:pt>
                <c:pt idx="23">
                  <c:v>5.0726268314133653</c:v>
                </c:pt>
                <c:pt idx="24">
                  <c:v>5.6365722394010787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BF-4AE6-8848-0B29C252E8AB}"/>
            </c:ext>
          </c:extLst>
        </c:ser>
        <c:ser>
          <c:idx val="1"/>
          <c:order val="1"/>
          <c:tx>
            <c:strRef>
              <c:f>Italy!$G$1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BF-4AE6-8848-0B29C252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252682"/>
        <c:axId val="43868212"/>
      </c:lineChart>
      <c:dateAx>
        <c:axId val="45252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3868212"/>
        <c:crosses val="autoZero"/>
        <c:auto val="1"/>
        <c:lblOffset val="100"/>
        <c:baseTimeUnit val="years"/>
      </c:dateAx>
      <c:valAx>
        <c:axId val="438682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5252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ITALY: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Italy!$O$1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Italy!$O$2:$O$26</c:f>
              <c:numCache>
                <c:formatCode>0.00;[Red]0.00</c:formatCode>
                <c:ptCount val="25"/>
                <c:pt idx="1">
                  <c:v>2.785165427135547</c:v>
                </c:pt>
                <c:pt idx="2">
                  <c:v>2.4653231917116765</c:v>
                </c:pt>
                <c:pt idx="3">
                  <c:v>2.6725555277285173</c:v>
                </c:pt>
                <c:pt idx="4">
                  <c:v>2.206736614236454</c:v>
                </c:pt>
                <c:pt idx="5">
                  <c:v>1.9852929852798282</c:v>
                </c:pt>
                <c:pt idx="6">
                  <c:v>2.0908439101275911</c:v>
                </c:pt>
                <c:pt idx="7">
                  <c:v>1.8297411220239639</c:v>
                </c:pt>
                <c:pt idx="8">
                  <c:v>3.3478325840102872</c:v>
                </c:pt>
                <c:pt idx="9">
                  <c:v>0.77476813138737477</c:v>
                </c:pt>
                <c:pt idx="10">
                  <c:v>1.5255160211824812</c:v>
                </c:pt>
                <c:pt idx="11">
                  <c:v>2.7806327287932624</c:v>
                </c:pt>
                <c:pt idx="12">
                  <c:v>3.0413633322676414</c:v>
                </c:pt>
                <c:pt idx="13">
                  <c:v>1.2199934227430793</c:v>
                </c:pt>
                <c:pt idx="14">
                  <c:v>0.24104742982676894</c:v>
                </c:pt>
                <c:pt idx="15">
                  <c:v>3.8790399657907502E-2</c:v>
                </c:pt>
                <c:pt idx="16">
                  <c:v>-9.4016656915623803E-2</c:v>
                </c:pt>
                <c:pt idx="17">
                  <c:v>1.2265331664570709</c:v>
                </c:pt>
                <c:pt idx="18">
                  <c:v>1.1374876360049573</c:v>
                </c:pt>
                <c:pt idx="19">
                  <c:v>0.61124694376528121</c:v>
                </c:pt>
                <c:pt idx="20">
                  <c:v>-0.137707573916896</c:v>
                </c:pt>
                <c:pt idx="21">
                  <c:v>1.873783257624936</c:v>
                </c:pt>
                <c:pt idx="22">
                  <c:v>8.2012899116168754</c:v>
                </c:pt>
                <c:pt idx="23">
                  <c:v>5.6221944219592528</c:v>
                </c:pt>
                <c:pt idx="24">
                  <c:v>0.98237302306139318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50-458F-BB1A-4360B0287D26}"/>
            </c:ext>
          </c:extLst>
        </c:ser>
        <c:ser>
          <c:idx val="1"/>
          <c:order val="1"/>
          <c:tx>
            <c:strRef>
              <c:f>Italy!$P$1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Italy!$P$2:$P$26</c:f>
              <c:numCache>
                <c:formatCode>0.00;[Red]0.00</c:formatCode>
                <c:ptCount val="25"/>
                <c:pt idx="1">
                  <c:v>3.0639222519218419</c:v>
                </c:pt>
                <c:pt idx="2">
                  <c:v>3.3059191646724115</c:v>
                </c:pt>
                <c:pt idx="3">
                  <c:v>3.1675530397969518</c:v>
                </c:pt>
                <c:pt idx="4">
                  <c:v>2.6341639438246451</c:v>
                </c:pt>
                <c:pt idx="5">
                  <c:v>2.0811968804837844</c:v>
                </c:pt>
                <c:pt idx="6">
                  <c:v>2.2100810282343191</c:v>
                </c:pt>
                <c:pt idx="7">
                  <c:v>2.4670753802335734</c:v>
                </c:pt>
                <c:pt idx="8">
                  <c:v>2.4044702976535279</c:v>
                </c:pt>
                <c:pt idx="9">
                  <c:v>1.773325715120196</c:v>
                </c:pt>
                <c:pt idx="10">
                  <c:v>0.59916420299944395</c:v>
                </c:pt>
                <c:pt idx="11">
                  <c:v>1.727297627450975</c:v>
                </c:pt>
                <c:pt idx="12">
                  <c:v>1.7020145776532154</c:v>
                </c:pt>
                <c:pt idx="13">
                  <c:v>1.1256752119974633</c:v>
                </c:pt>
                <c:pt idx="14">
                  <c:v>0.90310351636291275</c:v>
                </c:pt>
                <c:pt idx="15">
                  <c:v>0.78291764150009557</c:v>
                </c:pt>
                <c:pt idx="16">
                  <c:v>1.2494165596884406</c:v>
                </c:pt>
                <c:pt idx="17">
                  <c:v>0.70660751940196687</c:v>
                </c:pt>
                <c:pt idx="18">
                  <c:v>1.070840705786386</c:v>
                </c:pt>
                <c:pt idx="19">
                  <c:v>1.046754469990246</c:v>
                </c:pt>
                <c:pt idx="20">
                  <c:v>1.5759190064166901</c:v>
                </c:pt>
                <c:pt idx="21">
                  <c:v>1.2845340619251255</c:v>
                </c:pt>
                <c:pt idx="22">
                  <c:v>3.4530207189890443</c:v>
                </c:pt>
                <c:pt idx="23">
                  <c:v>6.2600616314352893</c:v>
                </c:pt>
                <c:pt idx="24">
                  <c:v>1.9709489673192324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50-458F-BB1A-4360B0287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259666"/>
        <c:axId val="8326368"/>
      </c:lineChart>
      <c:dateAx>
        <c:axId val="83259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326368"/>
        <c:crosses val="autoZero"/>
        <c:auto val="1"/>
        <c:lblOffset val="100"/>
        <c:baseTimeUnit val="years"/>
      </c:dateAx>
      <c:valAx>
        <c:axId val="83263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3259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ITALY: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Italy!$B$1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Italy!$A$2:$A$26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Italy!$B$2:$B$26</c:f>
              <c:numCache>
                <c:formatCode>General</c:formatCode>
                <c:ptCount val="25"/>
                <c:pt idx="0">
                  <c:v>10.1</c:v>
                </c:pt>
                <c:pt idx="1">
                  <c:v>9.1</c:v>
                </c:pt>
                <c:pt idx="2">
                  <c:v>8.6</c:v>
                </c:pt>
                <c:pt idx="3">
                  <c:v>8.5</c:v>
                </c:pt>
                <c:pt idx="4">
                  <c:v>8</c:v>
                </c:pt>
                <c:pt idx="5">
                  <c:v>7.8</c:v>
                </c:pt>
                <c:pt idx="6">
                  <c:v>6.9</c:v>
                </c:pt>
                <c:pt idx="7">
                  <c:v>6.2</c:v>
                </c:pt>
                <c:pt idx="8">
                  <c:v>6.8</c:v>
                </c:pt>
                <c:pt idx="9">
                  <c:v>7.9</c:v>
                </c:pt>
                <c:pt idx="10">
                  <c:v>8.5</c:v>
                </c:pt>
                <c:pt idx="11">
                  <c:v>8.6</c:v>
                </c:pt>
                <c:pt idx="12">
                  <c:v>10.9</c:v>
                </c:pt>
                <c:pt idx="13">
                  <c:v>12.4</c:v>
                </c:pt>
                <c:pt idx="14">
                  <c:v>12.8</c:v>
                </c:pt>
                <c:pt idx="15">
                  <c:v>12</c:v>
                </c:pt>
                <c:pt idx="16">
                  <c:v>11.7</c:v>
                </c:pt>
                <c:pt idx="17">
                  <c:v>11.3</c:v>
                </c:pt>
                <c:pt idx="18">
                  <c:v>10.6</c:v>
                </c:pt>
                <c:pt idx="19">
                  <c:v>9.9</c:v>
                </c:pt>
                <c:pt idx="20">
                  <c:v>9.4</c:v>
                </c:pt>
                <c:pt idx="21">
                  <c:v>9.6</c:v>
                </c:pt>
                <c:pt idx="22">
                  <c:v>8.1</c:v>
                </c:pt>
                <c:pt idx="23">
                  <c:v>7.7</c:v>
                </c:pt>
                <c:pt idx="24">
                  <c:v>6.6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E2-40AF-AE1C-19ED1F3C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117599"/>
        <c:axId val="13671818"/>
      </c:lineChart>
      <c:dateAx>
        <c:axId val="25117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3671818"/>
        <c:crosses val="autoZero"/>
        <c:auto val="1"/>
        <c:lblOffset val="100"/>
        <c:baseTimeUnit val="years"/>
      </c:dateAx>
      <c:valAx>
        <c:axId val="136718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5117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ITALY: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ITALY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Italy!$L$2:$L$26</c:f>
              <c:numCache>
                <c:formatCode>0.00;[Red]0.00</c:formatCode>
                <c:ptCount val="25"/>
                <c:pt idx="1">
                  <c:v>1.8591362455519127</c:v>
                </c:pt>
                <c:pt idx="2">
                  <c:v>0.24720386993531229</c:v>
                </c:pt>
                <c:pt idx="3">
                  <c:v>0.14584235126242295</c:v>
                </c:pt>
                <c:pt idx="4">
                  <c:v>1.254151059647463</c:v>
                </c:pt>
                <c:pt idx="5">
                  <c:v>1.143338234713009</c:v>
                </c:pt>
                <c:pt idx="6">
                  <c:v>1.8961601481504307</c:v>
                </c:pt>
                <c:pt idx="7">
                  <c:v>1.2823562934461998</c:v>
                </c:pt>
                <c:pt idx="8">
                  <c:v>-1.0593569674110255</c:v>
                </c:pt>
                <c:pt idx="9">
                  <c:v>-5.3265539891822016</c:v>
                </c:pt>
                <c:pt idx="10">
                  <c:v>1.480089714577612</c:v>
                </c:pt>
                <c:pt idx="11">
                  <c:v>0.85696270915436179</c:v>
                </c:pt>
                <c:pt idx="12">
                  <c:v>-3.1750566084242191</c:v>
                </c:pt>
                <c:pt idx="13">
                  <c:v>-1.8266320076835838</c:v>
                </c:pt>
                <c:pt idx="14">
                  <c:v>7.5262255224321353E-2</c:v>
                </c:pt>
                <c:pt idx="15">
                  <c:v>0.7456175207258583</c:v>
                </c:pt>
                <c:pt idx="16">
                  <c:v>1.3545272337265399</c:v>
                </c:pt>
                <c:pt idx="17">
                  <c:v>1.6919250626381044</c:v>
                </c:pt>
                <c:pt idx="18">
                  <c:v>0.6814676563567218</c:v>
                </c:pt>
                <c:pt idx="19">
                  <c:v>0.41838432331905695</c:v>
                </c:pt>
                <c:pt idx="20">
                  <c:v>-8.9520383779911867</c:v>
                </c:pt>
                <c:pt idx="21">
                  <c:v>8.8032121852111054</c:v>
                </c:pt>
                <c:pt idx="22">
                  <c:v>4.9743862469792175</c:v>
                </c:pt>
                <c:pt idx="23">
                  <c:v>1.0194293179535514</c:v>
                </c:pt>
                <c:pt idx="24">
                  <c:v>0.58635073578461494</c:v>
                </c:pt>
              </c:numCache>
            </c:numRef>
          </c:xVal>
          <c:yVal>
            <c:numRef>
              <c:f>Italy!$Q$2:$Q$26</c:f>
              <c:numCache>
                <c:formatCode>0.00;[Red]0.00</c:formatCode>
                <c:ptCount val="25"/>
                <c:pt idx="1">
                  <c:v>-1</c:v>
                </c:pt>
                <c:pt idx="2">
                  <c:v>-0.5</c:v>
                </c:pt>
                <c:pt idx="3">
                  <c:v>-9.9999999999999645E-2</c:v>
                </c:pt>
                <c:pt idx="4">
                  <c:v>-0.5</c:v>
                </c:pt>
                <c:pt idx="5">
                  <c:v>-0.20000000000000018</c:v>
                </c:pt>
                <c:pt idx="6">
                  <c:v>-0.89999999999999947</c:v>
                </c:pt>
                <c:pt idx="7">
                  <c:v>-0.70000000000000018</c:v>
                </c:pt>
                <c:pt idx="8">
                  <c:v>0.59999999999999964</c:v>
                </c:pt>
                <c:pt idx="9">
                  <c:v>1.1000000000000005</c:v>
                </c:pt>
                <c:pt idx="10">
                  <c:v>0.59999999999999964</c:v>
                </c:pt>
                <c:pt idx="11">
                  <c:v>9.9999999999999645E-2</c:v>
                </c:pt>
                <c:pt idx="12">
                  <c:v>2.3000000000000007</c:v>
                </c:pt>
                <c:pt idx="13">
                  <c:v>1.5</c:v>
                </c:pt>
                <c:pt idx="14">
                  <c:v>0.40000000000000036</c:v>
                </c:pt>
                <c:pt idx="15">
                  <c:v>-0.80000000000000071</c:v>
                </c:pt>
                <c:pt idx="16">
                  <c:v>-0.30000000000000071</c:v>
                </c:pt>
                <c:pt idx="17">
                  <c:v>-0.39999999999999858</c:v>
                </c:pt>
                <c:pt idx="18">
                  <c:v>-0.70000000000000107</c:v>
                </c:pt>
                <c:pt idx="19">
                  <c:v>-0.69999999999999929</c:v>
                </c:pt>
                <c:pt idx="20">
                  <c:v>-0.5</c:v>
                </c:pt>
                <c:pt idx="21">
                  <c:v>0.19999999999999929</c:v>
                </c:pt>
                <c:pt idx="22">
                  <c:v>-1.5</c:v>
                </c:pt>
                <c:pt idx="23">
                  <c:v>-0.39999999999999947</c:v>
                </c:pt>
                <c:pt idx="24">
                  <c:v>-1.1000000000000005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C3-4062-93B3-C2AF3E7B5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8458"/>
        <c:axId val="74594473"/>
      </c:scatterChart>
      <c:valAx>
        <c:axId val="161084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4473"/>
        <c:crosses val="autoZero"/>
        <c:crossBetween val="midCat"/>
      </c:valAx>
      <c:valAx>
        <c:axId val="745944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845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FRANCE: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France!$C$1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France!$C$2:$C$26</c:f>
              <c:numCache>
                <c:formatCode>General</c:formatCode>
                <c:ptCount val="25"/>
                <c:pt idx="0">
                  <c:v>1475503.3</c:v>
                </c:pt>
                <c:pt idx="1">
                  <c:v>1531244.5</c:v>
                </c:pt>
                <c:pt idx="2">
                  <c:v>1580459.7</c:v>
                </c:pt>
                <c:pt idx="3">
                  <c:v>1624806.1</c:v>
                </c:pt>
                <c:pt idx="4">
                  <c:v>1692878.6</c:v>
                </c:pt>
                <c:pt idx="5">
                  <c:v>1760519.9</c:v>
                </c:pt>
                <c:pt idx="6">
                  <c:v>1848255.5</c:v>
                </c:pt>
                <c:pt idx="7">
                  <c:v>1939249.6</c:v>
                </c:pt>
                <c:pt idx="8">
                  <c:v>1989014.9</c:v>
                </c:pt>
                <c:pt idx="9">
                  <c:v>1936988.9</c:v>
                </c:pt>
                <c:pt idx="10">
                  <c:v>1993991.5</c:v>
                </c:pt>
                <c:pt idx="11">
                  <c:v>2060977.1</c:v>
                </c:pt>
                <c:pt idx="12">
                  <c:v>2087960</c:v>
                </c:pt>
                <c:pt idx="13">
                  <c:v>2123158.6</c:v>
                </c:pt>
                <c:pt idx="14">
                  <c:v>2156505</c:v>
                </c:pt>
                <c:pt idx="15">
                  <c:v>2202773.1</c:v>
                </c:pt>
                <c:pt idx="16">
                  <c:v>2230619.5</c:v>
                </c:pt>
                <c:pt idx="17">
                  <c:v>2294481.7000000002</c:v>
                </c:pt>
                <c:pt idx="18">
                  <c:v>2356831.2999999998</c:v>
                </c:pt>
                <c:pt idx="19">
                  <c:v>2435493.2999999998</c:v>
                </c:pt>
                <c:pt idx="20">
                  <c:v>2317315.7000000002</c:v>
                </c:pt>
                <c:pt idx="21">
                  <c:v>2504726.1</c:v>
                </c:pt>
                <c:pt idx="22">
                  <c:v>2652544.1</c:v>
                </c:pt>
                <c:pt idx="23">
                  <c:v>2837670.7</c:v>
                </c:pt>
                <c:pt idx="24">
                  <c:v>2936861.9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31-4B7F-8A1E-88ECBE58935F}"/>
            </c:ext>
          </c:extLst>
        </c:ser>
        <c:ser>
          <c:idx val="1"/>
          <c:order val="1"/>
          <c:tx>
            <c:strRef>
              <c:f>France!$D$1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France!$D$2:$D$26</c:f>
              <c:numCache>
                <c:formatCode>General</c:formatCode>
                <c:ptCount val="25"/>
                <c:pt idx="0">
                  <c:v>1750227.2</c:v>
                </c:pt>
                <c:pt idx="1">
                  <c:v>1782380.2</c:v>
                </c:pt>
                <c:pt idx="2">
                  <c:v>1802458.8</c:v>
                </c:pt>
                <c:pt idx="3">
                  <c:v>1820279.2</c:v>
                </c:pt>
                <c:pt idx="4">
                  <c:v>1866127.3</c:v>
                </c:pt>
                <c:pt idx="5">
                  <c:v>1903204.7</c:v>
                </c:pt>
                <c:pt idx="6">
                  <c:v>1959090.6</c:v>
                </c:pt>
                <c:pt idx="7">
                  <c:v>2007651.7</c:v>
                </c:pt>
                <c:pt idx="8">
                  <c:v>2012887</c:v>
                </c:pt>
                <c:pt idx="9">
                  <c:v>1958036.5</c:v>
                </c:pt>
                <c:pt idx="10">
                  <c:v>1993991.5</c:v>
                </c:pt>
                <c:pt idx="11">
                  <c:v>2043487.9</c:v>
                </c:pt>
                <c:pt idx="12">
                  <c:v>2048137.5</c:v>
                </c:pt>
                <c:pt idx="13">
                  <c:v>2067197.7</c:v>
                </c:pt>
                <c:pt idx="14">
                  <c:v>2087822.9</c:v>
                </c:pt>
                <c:pt idx="15">
                  <c:v>2108652.2000000002</c:v>
                </c:pt>
                <c:pt idx="16">
                  <c:v>2124205</c:v>
                </c:pt>
                <c:pt idx="17">
                  <c:v>2172411.2999999998</c:v>
                </c:pt>
                <c:pt idx="18">
                  <c:v>2206838.4</c:v>
                </c:pt>
                <c:pt idx="19">
                  <c:v>2253224</c:v>
                </c:pt>
                <c:pt idx="20">
                  <c:v>2081819.6</c:v>
                </c:pt>
                <c:pt idx="21">
                  <c:v>2223170.2999999998</c:v>
                </c:pt>
                <c:pt idx="22">
                  <c:v>2285416.7999999998</c:v>
                </c:pt>
                <c:pt idx="23">
                  <c:v>2326988.9</c:v>
                </c:pt>
                <c:pt idx="24">
                  <c:v>2360180.7999999998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31-4B7F-8A1E-88ECBE589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420791"/>
        <c:axId val="71424163"/>
      </c:lineChart>
      <c:dateAx>
        <c:axId val="70420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1424163"/>
        <c:crosses val="autoZero"/>
        <c:auto val="1"/>
        <c:lblOffset val="100"/>
        <c:baseTimeUnit val="years"/>
      </c:dateAx>
      <c:valAx>
        <c:axId val="714241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04207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FRANCE: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France!$L$1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France!$L$2:$L$26</c:f>
              <c:numCache>
                <c:formatCode>0.00;[Red]0.00</c:formatCode>
                <c:ptCount val="25"/>
                <c:pt idx="1">
                  <c:v>1.83707578079006</c:v>
                </c:pt>
                <c:pt idx="2">
                  <c:v>1.126504883750397</c:v>
                </c:pt>
                <c:pt idx="3">
                  <c:v>0.98867169668454602</c:v>
                </c:pt>
                <c:pt idx="4">
                  <c:v>2.5187399823060161</c:v>
                </c:pt>
                <c:pt idx="5">
                  <c:v>1.9868633827927979</c:v>
                </c:pt>
                <c:pt idx="6">
                  <c:v>2.9364103609033827</c:v>
                </c:pt>
                <c:pt idx="7">
                  <c:v>2.4787572356275844</c:v>
                </c:pt>
                <c:pt idx="8">
                  <c:v>0.26076734325979184</c:v>
                </c:pt>
                <c:pt idx="9">
                  <c:v>-2.7249666772153627</c:v>
                </c:pt>
                <c:pt idx="10">
                  <c:v>1.8362783329115673</c:v>
                </c:pt>
                <c:pt idx="11">
                  <c:v>2.4822773818243409</c:v>
                </c:pt>
                <c:pt idx="12">
                  <c:v>0.22753254374543119</c:v>
                </c:pt>
                <c:pt idx="13">
                  <c:v>0.93061134811505353</c:v>
                </c:pt>
                <c:pt idx="14">
                  <c:v>0.99773717820990004</c:v>
                </c:pt>
                <c:pt idx="15">
                  <c:v>0.99765645831359928</c:v>
                </c:pt>
                <c:pt idx="16">
                  <c:v>0.73757066243545577</c:v>
                </c:pt>
                <c:pt idx="17">
                  <c:v>2.2693807801036066</c:v>
                </c:pt>
                <c:pt idx="18">
                  <c:v>1.5847413424888785</c:v>
                </c:pt>
                <c:pt idx="19">
                  <c:v>2.101902885141028</c:v>
                </c:pt>
                <c:pt idx="20">
                  <c:v>-7.6070732426070338</c:v>
                </c:pt>
                <c:pt idx="21">
                  <c:v>6.7897669903770579</c:v>
                </c:pt>
                <c:pt idx="22">
                  <c:v>2.7998979655314757</c:v>
                </c:pt>
                <c:pt idx="23">
                  <c:v>1.8190161199480155</c:v>
                </c:pt>
                <c:pt idx="24">
                  <c:v>1.4263884112210379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51-4938-8D1F-5821996530B3}"/>
            </c:ext>
          </c:extLst>
        </c:ser>
        <c:ser>
          <c:idx val="1"/>
          <c:order val="1"/>
          <c:tx>
            <c:strRef>
              <c:f>France!$G$1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51-4938-8D1F-58219965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92646"/>
        <c:axId val="56401323"/>
      </c:lineChart>
      <c:dateAx>
        <c:axId val="64926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6401323"/>
        <c:crosses val="autoZero"/>
        <c:auto val="1"/>
        <c:lblOffset val="100"/>
        <c:baseTimeUnit val="years"/>
      </c:dateAx>
      <c:valAx>
        <c:axId val="564013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492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FRANCE: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France!$D$1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France!$D$2:$D$26</c:f>
              <c:numCache>
                <c:formatCode>General</c:formatCode>
                <c:ptCount val="25"/>
                <c:pt idx="0">
                  <c:v>1750227.2</c:v>
                </c:pt>
                <c:pt idx="1">
                  <c:v>1782380.2</c:v>
                </c:pt>
                <c:pt idx="2">
                  <c:v>1802458.8</c:v>
                </c:pt>
                <c:pt idx="3">
                  <c:v>1820279.2</c:v>
                </c:pt>
                <c:pt idx="4">
                  <c:v>1866127.3</c:v>
                </c:pt>
                <c:pt idx="5">
                  <c:v>1903204.7</c:v>
                </c:pt>
                <c:pt idx="6">
                  <c:v>1959090.6</c:v>
                </c:pt>
                <c:pt idx="7">
                  <c:v>2007651.7</c:v>
                </c:pt>
                <c:pt idx="8">
                  <c:v>2012887</c:v>
                </c:pt>
                <c:pt idx="9">
                  <c:v>1958036.5</c:v>
                </c:pt>
                <c:pt idx="10">
                  <c:v>1993991.5</c:v>
                </c:pt>
                <c:pt idx="11">
                  <c:v>2043487.9</c:v>
                </c:pt>
                <c:pt idx="12">
                  <c:v>2048137.5</c:v>
                </c:pt>
                <c:pt idx="13">
                  <c:v>2067197.7</c:v>
                </c:pt>
                <c:pt idx="14">
                  <c:v>2087822.9</c:v>
                </c:pt>
                <c:pt idx="15">
                  <c:v>2108652.2000000002</c:v>
                </c:pt>
                <c:pt idx="16">
                  <c:v>2124205</c:v>
                </c:pt>
                <c:pt idx="17">
                  <c:v>2172411.2999999998</c:v>
                </c:pt>
                <c:pt idx="18">
                  <c:v>2206838.4</c:v>
                </c:pt>
                <c:pt idx="19">
                  <c:v>2253224</c:v>
                </c:pt>
                <c:pt idx="20">
                  <c:v>2081819.6</c:v>
                </c:pt>
                <c:pt idx="21">
                  <c:v>2223170.2999999998</c:v>
                </c:pt>
                <c:pt idx="22">
                  <c:v>2285416.7999999998</c:v>
                </c:pt>
                <c:pt idx="23">
                  <c:v>2326988.9</c:v>
                </c:pt>
                <c:pt idx="24">
                  <c:v>2360180.7999999998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D3-434A-B33E-11C8C3795DE0}"/>
            </c:ext>
          </c:extLst>
        </c:ser>
        <c:ser>
          <c:idx val="1"/>
          <c:order val="1"/>
          <c:tx>
            <c:strRef>
              <c:f>France!$M$1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France!$M$2:$M$26</c:f>
              <c:numCache>
                <c:formatCode>0.00;[Red]0.00</c:formatCode>
                <c:ptCount val="25"/>
                <c:pt idx="0">
                  <c:v>1778794.2483518936</c:v>
                </c:pt>
                <c:pt idx="1">
                  <c:v>1801425.5415660504</c:v>
                </c:pt>
                <c:pt idx="2">
                  <c:v>1823995.0006457421</c:v>
                </c:pt>
                <c:pt idx="3">
                  <c:v>1846564.4597254342</c:v>
                </c:pt>
                <c:pt idx="4">
                  <c:v>1869133.9188051263</c:v>
                </c:pt>
                <c:pt idx="5">
                  <c:v>1891765.2120192831</c:v>
                </c:pt>
                <c:pt idx="6">
                  <c:v>1914334.6710989752</c:v>
                </c:pt>
                <c:pt idx="7">
                  <c:v>1936904.1301786669</c:v>
                </c:pt>
                <c:pt idx="8">
                  <c:v>1959473.589258359</c:v>
                </c:pt>
                <c:pt idx="9">
                  <c:v>1982104.8824725158</c:v>
                </c:pt>
                <c:pt idx="10">
                  <c:v>2004674.3415522079</c:v>
                </c:pt>
                <c:pt idx="11">
                  <c:v>2027243.8006319001</c:v>
                </c:pt>
                <c:pt idx="12">
                  <c:v>2049813.2597115918</c:v>
                </c:pt>
                <c:pt idx="13">
                  <c:v>2072444.5529257485</c:v>
                </c:pt>
                <c:pt idx="14">
                  <c:v>2095014.0120054407</c:v>
                </c:pt>
                <c:pt idx="15">
                  <c:v>2117583.471085133</c:v>
                </c:pt>
                <c:pt idx="16">
                  <c:v>2140152.9301648242</c:v>
                </c:pt>
                <c:pt idx="17">
                  <c:v>2162784.2233789815</c:v>
                </c:pt>
                <c:pt idx="18">
                  <c:v>2185353.6824586736</c:v>
                </c:pt>
                <c:pt idx="19">
                  <c:v>2207923.1415383657</c:v>
                </c:pt>
                <c:pt idx="20">
                  <c:v>2230492.6006180579</c:v>
                </c:pt>
                <c:pt idx="21">
                  <c:v>2253123.8938322142</c:v>
                </c:pt>
                <c:pt idx="22">
                  <c:v>2275693.3529119063</c:v>
                </c:pt>
                <c:pt idx="23">
                  <c:v>2298262.8119915985</c:v>
                </c:pt>
                <c:pt idx="24">
                  <c:v>2320832.2710712906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D3-434A-B33E-11C8C3795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628052"/>
        <c:axId val="86706276"/>
      </c:lineChart>
      <c:dateAx>
        <c:axId val="486280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6706276"/>
        <c:crosses val="autoZero"/>
        <c:auto val="1"/>
        <c:lblOffset val="100"/>
        <c:baseTimeUnit val="years"/>
      </c:dateAx>
      <c:valAx>
        <c:axId val="867062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8628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FRANCE: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France!$N$1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France!$N$2:$N$26</c:f>
              <c:numCache>
                <c:formatCode>0.00;[Red]0.00</c:formatCode>
                <c:ptCount val="25"/>
                <c:pt idx="0">
                  <c:v>-1.6059782281375092</c:v>
                </c:pt>
                <c:pt idx="1">
                  <c:v>-1.0572372338794285</c:v>
                </c:pt>
                <c:pt idx="2">
                  <c:v>-1.1807159908945817</c:v>
                </c:pt>
                <c:pt idx="3">
                  <c:v>-1.423468300117863</c:v>
                </c:pt>
                <c:pt idx="4">
                  <c:v>-0.16085625405847409</c:v>
                </c:pt>
                <c:pt idx="5">
                  <c:v>0.60469914067751962</c:v>
                </c:pt>
                <c:pt idx="6">
                  <c:v>2.3379364944234915</c:v>
                </c:pt>
                <c:pt idx="7">
                  <c:v>3.6526108194527436</c:v>
                </c:pt>
                <c:pt idx="8">
                  <c:v>2.7259061328740537</c:v>
                </c:pt>
                <c:pt idx="9">
                  <c:v>-1.2142840010813374</c:v>
                </c:pt>
                <c:pt idx="10">
                  <c:v>-0.53289660723328658</c:v>
                </c:pt>
                <c:pt idx="11">
                  <c:v>0.80128987756857217</c:v>
                </c:pt>
                <c:pt idx="12">
                  <c:v>-8.1751823179616795E-2</c:v>
                </c:pt>
                <c:pt idx="13">
                  <c:v>-0.25317217381480162</c:v>
                </c:pt>
                <c:pt idx="14">
                  <c:v>-0.3432488739565564</c:v>
                </c:pt>
                <c:pt idx="15">
                  <c:v>-0.42176713253981485</c:v>
                </c:pt>
                <c:pt idx="16">
                  <c:v>-0.7451771291688023</c:v>
                </c:pt>
                <c:pt idx="17">
                  <c:v>0.44512423000652768</c:v>
                </c:pt>
                <c:pt idx="18">
                  <c:v>0.98312313076730518</c:v>
                </c:pt>
                <c:pt idx="19">
                  <c:v>2.0517407336050191</c:v>
                </c:pt>
                <c:pt idx="20">
                  <c:v>-6.6654783152771397</c:v>
                </c:pt>
                <c:pt idx="21">
                  <c:v>-1.3294250668687353</c:v>
                </c:pt>
                <c:pt idx="22">
                  <c:v>0.42727404707895622</c:v>
                </c:pt>
                <c:pt idx="23">
                  <c:v>1.2499043999023058</c:v>
                </c:pt>
                <c:pt idx="24">
                  <c:v>1.6954490602005472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34-4834-BA09-6F124294D9EE}"/>
            </c:ext>
          </c:extLst>
        </c:ser>
        <c:ser>
          <c:idx val="1"/>
          <c:order val="1"/>
          <c:tx>
            <c:strRef>
              <c:f>France!$G$1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E34-4834-BA09-6F124294D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361664"/>
        <c:axId val="96589412"/>
      </c:lineChart>
      <c:dateAx>
        <c:axId val="70361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6589412"/>
        <c:crosses val="autoZero"/>
        <c:auto val="1"/>
        <c:lblOffset val="100"/>
        <c:baseTimeUnit val="years"/>
      </c:dateAx>
      <c:valAx>
        <c:axId val="965894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0361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FRANCE: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France!$O$1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France!$O$2:$O$26</c:f>
              <c:numCache>
                <c:formatCode>0.00;[Red]0.00</c:formatCode>
                <c:ptCount val="25"/>
                <c:pt idx="1">
                  <c:v>1.6347807954960558</c:v>
                </c:pt>
                <c:pt idx="2">
                  <c:v>1.9234122872706019</c:v>
                </c:pt>
                <c:pt idx="3">
                  <c:v>2.0984721914692299</c:v>
                </c:pt>
                <c:pt idx="4">
                  <c:v>2.1420896464023653</c:v>
                </c:pt>
                <c:pt idx="5">
                  <c:v>1.7458693638048279</c:v>
                </c:pt>
                <c:pt idx="6">
                  <c:v>1.6751244960873126</c:v>
                </c:pt>
                <c:pt idx="7">
                  <c:v>1.4879980595386118</c:v>
                </c:pt>
                <c:pt idx="8">
                  <c:v>2.8128619491477553</c:v>
                </c:pt>
                <c:pt idx="9">
                  <c:v>8.7620478157508896E-2</c:v>
                </c:pt>
                <c:pt idx="10">
                  <c:v>1.5311227042093183</c:v>
                </c:pt>
                <c:pt idx="11">
                  <c:v>2.1115979517499865</c:v>
                </c:pt>
                <c:pt idx="12">
                  <c:v>1.9541953161350365</c:v>
                </c:pt>
                <c:pt idx="13">
                  <c:v>0.86371549786177437</c:v>
                </c:pt>
                <c:pt idx="14">
                  <c:v>0.50775882293795871</c:v>
                </c:pt>
                <c:pt idx="15">
                  <c:v>3.7514380512524141E-2</c:v>
                </c:pt>
                <c:pt idx="16">
                  <c:v>0.18333486112391767</c:v>
                </c:pt>
                <c:pt idx="17">
                  <c:v>1.032282750646067</c:v>
                </c:pt>
                <c:pt idx="18">
                  <c:v>1.8508150831556218</c:v>
                </c:pt>
                <c:pt idx="19">
                  <c:v>1.1082549228829162</c:v>
                </c:pt>
                <c:pt idx="20">
                  <c:v>0.47649885272443987</c:v>
                </c:pt>
                <c:pt idx="21">
                  <c:v>1.6423314103839362</c:v>
                </c:pt>
                <c:pt idx="22">
                  <c:v>5.2223674836975684</c:v>
                </c:pt>
                <c:pt idx="23">
                  <c:v>4.8783572650838654</c:v>
                </c:pt>
                <c:pt idx="24">
                  <c:v>1.999049422915165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13-486A-8D4F-AA9D933196C8}"/>
            </c:ext>
          </c:extLst>
        </c:ser>
        <c:ser>
          <c:idx val="1"/>
          <c:order val="1"/>
          <c:tx>
            <c:strRef>
              <c:f>France!$P$1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France!$P$2:$P$26</c:f>
              <c:numCache>
                <c:formatCode>0.00;[Red]0.00</c:formatCode>
                <c:ptCount val="25"/>
                <c:pt idx="1">
                  <c:v>1.9056905918827849</c:v>
                </c:pt>
                <c:pt idx="2">
                  <c:v>2.0643060299558669</c:v>
                </c:pt>
                <c:pt idx="3">
                  <c:v>1.799455394345099</c:v>
                </c:pt>
                <c:pt idx="4">
                  <c:v>1.6297867631404641</c:v>
                </c:pt>
                <c:pt idx="5">
                  <c:v>1.9696405135334241</c:v>
                </c:pt>
                <c:pt idx="6">
                  <c:v>1.9886984484396675</c:v>
                </c:pt>
                <c:pt idx="7">
                  <c:v>2.3853580145924602</c:v>
                </c:pt>
                <c:pt idx="8">
                  <c:v>2.299450711956232</c:v>
                </c:pt>
                <c:pt idx="9">
                  <c:v>0.11236181932656841</c:v>
                </c:pt>
                <c:pt idx="10">
                  <c:v>1.0866143837995188</c:v>
                </c:pt>
                <c:pt idx="11">
                  <c:v>0.85585043102042835</c:v>
                </c:pt>
                <c:pt idx="12">
                  <c:v>1.0792403540066613</c:v>
                </c:pt>
                <c:pt idx="13">
                  <c:v>0.7482146809450837</c:v>
                </c:pt>
                <c:pt idx="14">
                  <c:v>0.56720693275645584</c:v>
                </c:pt>
                <c:pt idx="15">
                  <c:v>1.1365182205214108</c:v>
                </c:pt>
                <c:pt idx="16">
                  <c:v>0.52272585596681209</c:v>
                </c:pt>
                <c:pt idx="17">
                  <c:v>0.5804275497242849</c:v>
                </c:pt>
                <c:pt idx="18">
                  <c:v>1.1149612632985801</c:v>
                </c:pt>
                <c:pt idx="19">
                  <c:v>1.2102752148198177</c:v>
                </c:pt>
                <c:pt idx="20">
                  <c:v>2.9815775158248359</c:v>
                </c:pt>
                <c:pt idx="21">
                  <c:v>1.2151209337994497</c:v>
                </c:pt>
                <c:pt idx="22">
                  <c:v>3.0171873165702281</c:v>
                </c:pt>
                <c:pt idx="23">
                  <c:v>5.0680051787224683</c:v>
                </c:pt>
                <c:pt idx="24">
                  <c:v>2.0400276950391083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13-486A-8D4F-AA9D9331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22044"/>
        <c:axId val="55586549"/>
      </c:lineChart>
      <c:dateAx>
        <c:axId val="98220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5586549"/>
        <c:crosses val="autoZero"/>
        <c:auto val="1"/>
        <c:lblOffset val="100"/>
        <c:baseTimeUnit val="years"/>
      </c:dateAx>
      <c:valAx>
        <c:axId val="555865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822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FRANCE: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France!$B$1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France!$A$2:$A$26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France!$B$2:$B$26</c:f>
              <c:numCache>
                <c:formatCode>General</c:formatCode>
                <c:ptCount val="25"/>
                <c:pt idx="0">
                  <c:v>9.1999999999999993</c:v>
                </c:pt>
                <c:pt idx="1">
                  <c:v>8.5</c:v>
                </c:pt>
                <c:pt idx="2">
                  <c:v>8.3000000000000007</c:v>
                </c:pt>
                <c:pt idx="3">
                  <c:v>8.5</c:v>
                </c:pt>
                <c:pt idx="4">
                  <c:v>8.9</c:v>
                </c:pt>
                <c:pt idx="5">
                  <c:v>8.9</c:v>
                </c:pt>
                <c:pt idx="6">
                  <c:v>8.9</c:v>
                </c:pt>
                <c:pt idx="7">
                  <c:v>8</c:v>
                </c:pt>
                <c:pt idx="8">
                  <c:v>7.4</c:v>
                </c:pt>
                <c:pt idx="9">
                  <c:v>9.1</c:v>
                </c:pt>
                <c:pt idx="10">
                  <c:v>9.3000000000000007</c:v>
                </c:pt>
                <c:pt idx="11">
                  <c:v>9.1999999999999993</c:v>
                </c:pt>
                <c:pt idx="12">
                  <c:v>9.8000000000000007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10.1</c:v>
                </c:pt>
                <c:pt idx="17">
                  <c:v>9.4</c:v>
                </c:pt>
                <c:pt idx="18">
                  <c:v>9</c:v>
                </c:pt>
                <c:pt idx="19">
                  <c:v>8.4</c:v>
                </c:pt>
                <c:pt idx="20">
                  <c:v>8</c:v>
                </c:pt>
                <c:pt idx="21">
                  <c:v>7.9</c:v>
                </c:pt>
                <c:pt idx="22">
                  <c:v>7.3</c:v>
                </c:pt>
                <c:pt idx="23">
                  <c:v>7.3</c:v>
                </c:pt>
                <c:pt idx="24">
                  <c:v>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13-48B4-AF5B-9E694EC5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585622"/>
        <c:axId val="80158808"/>
      </c:lineChart>
      <c:dateAx>
        <c:axId val="625856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0158808"/>
        <c:crosses val="autoZero"/>
        <c:auto val="1"/>
        <c:lblOffset val="100"/>
        <c:baseTimeUnit val="years"/>
      </c:dateAx>
      <c:valAx>
        <c:axId val="801588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2585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FRANCE: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FRANCE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France!$L$2:$L$26</c:f>
              <c:numCache>
                <c:formatCode>0.00;[Red]0.00</c:formatCode>
                <c:ptCount val="25"/>
                <c:pt idx="1">
                  <c:v>1.83707578079006</c:v>
                </c:pt>
                <c:pt idx="2">
                  <c:v>1.126504883750397</c:v>
                </c:pt>
                <c:pt idx="3">
                  <c:v>0.98867169668454602</c:v>
                </c:pt>
                <c:pt idx="4">
                  <c:v>2.5187399823060161</c:v>
                </c:pt>
                <c:pt idx="5">
                  <c:v>1.9868633827927979</c:v>
                </c:pt>
                <c:pt idx="6">
                  <c:v>2.9364103609033827</c:v>
                </c:pt>
                <c:pt idx="7">
                  <c:v>2.4787572356275844</c:v>
                </c:pt>
                <c:pt idx="8">
                  <c:v>0.26076734325979184</c:v>
                </c:pt>
                <c:pt idx="9">
                  <c:v>-2.7249666772153627</c:v>
                </c:pt>
                <c:pt idx="10">
                  <c:v>1.8362783329115673</c:v>
                </c:pt>
                <c:pt idx="11">
                  <c:v>2.4822773818243409</c:v>
                </c:pt>
                <c:pt idx="12">
                  <c:v>0.22753254374543119</c:v>
                </c:pt>
                <c:pt idx="13">
                  <c:v>0.93061134811505353</c:v>
                </c:pt>
                <c:pt idx="14">
                  <c:v>0.99773717820990004</c:v>
                </c:pt>
                <c:pt idx="15">
                  <c:v>0.99765645831359928</c:v>
                </c:pt>
                <c:pt idx="16">
                  <c:v>0.73757066243545577</c:v>
                </c:pt>
                <c:pt idx="17">
                  <c:v>2.2693807801036066</c:v>
                </c:pt>
                <c:pt idx="18">
                  <c:v>1.5847413424888785</c:v>
                </c:pt>
                <c:pt idx="19">
                  <c:v>2.101902885141028</c:v>
                </c:pt>
                <c:pt idx="20">
                  <c:v>-7.6070732426070338</c:v>
                </c:pt>
                <c:pt idx="21">
                  <c:v>6.7897669903770579</c:v>
                </c:pt>
                <c:pt idx="22">
                  <c:v>2.7998979655314757</c:v>
                </c:pt>
                <c:pt idx="23">
                  <c:v>1.8190161199480155</c:v>
                </c:pt>
                <c:pt idx="24">
                  <c:v>1.4263884112210379</c:v>
                </c:pt>
              </c:numCache>
            </c:numRef>
          </c:xVal>
          <c:yVal>
            <c:numRef>
              <c:f>France!$Q$2:$Q$26</c:f>
              <c:numCache>
                <c:formatCode>0.00;[Red]0.00</c:formatCode>
                <c:ptCount val="25"/>
                <c:pt idx="1">
                  <c:v>-0.69999999999999929</c:v>
                </c:pt>
                <c:pt idx="2">
                  <c:v>-0.19999999999999929</c:v>
                </c:pt>
                <c:pt idx="3">
                  <c:v>0.19999999999999929</c:v>
                </c:pt>
                <c:pt idx="4">
                  <c:v>0.40000000000000036</c:v>
                </c:pt>
                <c:pt idx="5">
                  <c:v>0</c:v>
                </c:pt>
                <c:pt idx="6">
                  <c:v>0</c:v>
                </c:pt>
                <c:pt idx="7">
                  <c:v>-0.90000000000000036</c:v>
                </c:pt>
                <c:pt idx="8">
                  <c:v>-0.59999999999999964</c:v>
                </c:pt>
                <c:pt idx="9">
                  <c:v>1.6999999999999993</c:v>
                </c:pt>
                <c:pt idx="10">
                  <c:v>0.20000000000000107</c:v>
                </c:pt>
                <c:pt idx="11">
                  <c:v>-0.10000000000000142</c:v>
                </c:pt>
                <c:pt idx="12">
                  <c:v>0.60000000000000142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  <c:pt idx="16">
                  <c:v>-0.20000000000000107</c:v>
                </c:pt>
                <c:pt idx="17">
                  <c:v>-0.69999999999999929</c:v>
                </c:pt>
                <c:pt idx="18">
                  <c:v>-0.40000000000000036</c:v>
                </c:pt>
                <c:pt idx="19">
                  <c:v>-0.59999999999999964</c:v>
                </c:pt>
                <c:pt idx="20">
                  <c:v>-0.40000000000000036</c:v>
                </c:pt>
                <c:pt idx="21">
                  <c:v>-9.9999999999999645E-2</c:v>
                </c:pt>
                <c:pt idx="22">
                  <c:v>-0.60000000000000053</c:v>
                </c:pt>
                <c:pt idx="23">
                  <c:v>0</c:v>
                </c:pt>
                <c:pt idx="24">
                  <c:v>0.20000000000000018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4B-42DF-8DF4-BD783470E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76863"/>
        <c:axId val="71466257"/>
      </c:scatterChart>
      <c:valAx>
        <c:axId val="8337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66257"/>
        <c:crosses val="autoZero"/>
        <c:crossBetween val="midCat"/>
      </c:valAx>
      <c:valAx>
        <c:axId val="71466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6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JAPAN: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Japan!$C$1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Japan!$C$2:$C$26</c:f>
              <c:numCache>
                <c:formatCode>General</c:formatCode>
                <c:ptCount val="25"/>
                <c:pt idx="0">
                  <c:v>543737.30000000005</c:v>
                </c:pt>
                <c:pt idx="1">
                  <c:v>539711.5</c:v>
                </c:pt>
                <c:pt idx="2">
                  <c:v>532463.19999999995</c:v>
                </c:pt>
                <c:pt idx="3">
                  <c:v>530387.4</c:v>
                </c:pt>
                <c:pt idx="4">
                  <c:v>534603.69999999995</c:v>
                </c:pt>
                <c:pt idx="5">
                  <c:v>537485.5</c:v>
                </c:pt>
                <c:pt idx="6">
                  <c:v>540568.1</c:v>
                </c:pt>
                <c:pt idx="7">
                  <c:v>544628.1</c:v>
                </c:pt>
                <c:pt idx="8">
                  <c:v>533458.9</c:v>
                </c:pt>
                <c:pt idx="9">
                  <c:v>499514.1</c:v>
                </c:pt>
                <c:pt idx="10">
                  <c:v>510315.6</c:v>
                </c:pt>
                <c:pt idx="11">
                  <c:v>501412.3</c:v>
                </c:pt>
                <c:pt idx="12">
                  <c:v>505530</c:v>
                </c:pt>
                <c:pt idx="13">
                  <c:v>514818.4</c:v>
                </c:pt>
                <c:pt idx="14">
                  <c:v>528094.1</c:v>
                </c:pt>
                <c:pt idx="15">
                  <c:v>548919.1</c:v>
                </c:pt>
                <c:pt idx="16">
                  <c:v>555766.30000000005</c:v>
                </c:pt>
                <c:pt idx="17">
                  <c:v>565040.4</c:v>
                </c:pt>
                <c:pt idx="18">
                  <c:v>569196.6</c:v>
                </c:pt>
                <c:pt idx="19">
                  <c:v>571848.80000000005</c:v>
                </c:pt>
                <c:pt idx="20">
                  <c:v>553828.6</c:v>
                </c:pt>
                <c:pt idx="21">
                  <c:v>573724.1</c:v>
                </c:pt>
                <c:pt idx="22">
                  <c:v>584979.80000000005</c:v>
                </c:pt>
                <c:pt idx="23">
                  <c:v>616029.6</c:v>
                </c:pt>
                <c:pt idx="24">
                  <c:v>634646.6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4-455D-B9A9-961E9EFD00D0}"/>
            </c:ext>
          </c:extLst>
        </c:ser>
        <c:ser>
          <c:idx val="1"/>
          <c:order val="1"/>
          <c:tx>
            <c:strRef>
              <c:f>Japan!$D$1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Japan!$D$2:$D$26</c:f>
              <c:numCache>
                <c:formatCode>General</c:formatCode>
                <c:ptCount val="25"/>
                <c:pt idx="0">
                  <c:v>500719.1</c:v>
                </c:pt>
                <c:pt idx="1">
                  <c:v>502075.6</c:v>
                </c:pt>
                <c:pt idx="2">
                  <c:v>502338.3</c:v>
                </c:pt>
                <c:pt idx="3">
                  <c:v>509455.1</c:v>
                </c:pt>
                <c:pt idx="4">
                  <c:v>520164.7</c:v>
                </c:pt>
                <c:pt idx="5">
                  <c:v>529762</c:v>
                </c:pt>
                <c:pt idx="6">
                  <c:v>537815.5</c:v>
                </c:pt>
                <c:pt idx="7">
                  <c:v>547072.80000000005</c:v>
                </c:pt>
                <c:pt idx="8">
                  <c:v>540731.30000000005</c:v>
                </c:pt>
                <c:pt idx="9">
                  <c:v>508634.2</c:v>
                </c:pt>
                <c:pt idx="10">
                  <c:v>529650.19999999995</c:v>
                </c:pt>
                <c:pt idx="11">
                  <c:v>528667.5</c:v>
                </c:pt>
                <c:pt idx="12">
                  <c:v>537424</c:v>
                </c:pt>
                <c:pt idx="13">
                  <c:v>548287.6</c:v>
                </c:pt>
                <c:pt idx="14">
                  <c:v>552778.6</c:v>
                </c:pt>
                <c:pt idx="15">
                  <c:v>563010.30000000005</c:v>
                </c:pt>
                <c:pt idx="16">
                  <c:v>566785.5</c:v>
                </c:pt>
                <c:pt idx="17">
                  <c:v>575995.19999999995</c:v>
                </c:pt>
                <c:pt idx="18">
                  <c:v>580909.6</c:v>
                </c:pt>
                <c:pt idx="19">
                  <c:v>579096.5</c:v>
                </c:pt>
                <c:pt idx="20">
                  <c:v>554019.5</c:v>
                </c:pt>
                <c:pt idx="21">
                  <c:v>574267.80000000005</c:v>
                </c:pt>
                <c:pt idx="22">
                  <c:v>581669.5</c:v>
                </c:pt>
                <c:pt idx="23">
                  <c:v>585811.19999999995</c:v>
                </c:pt>
                <c:pt idx="24">
                  <c:v>584868.6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4-455D-B9A9-961E9EFD0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932047"/>
        <c:axId val="47433794"/>
      </c:lineChart>
      <c:dateAx>
        <c:axId val="979320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7433794"/>
        <c:crosses val="autoZero"/>
        <c:auto val="1"/>
        <c:lblOffset val="100"/>
        <c:baseTimeUnit val="years"/>
      </c:dateAx>
      <c:valAx>
        <c:axId val="47433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7932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JAPAN: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Japan!$M$1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Japan!$M$2:$M$26</c:f>
              <c:numCache>
                <c:formatCode>0.00;[Red]0.00</c:formatCode>
                <c:ptCount val="25"/>
                <c:pt idx="1">
                  <c:v>0.27091037669623547</c:v>
                </c:pt>
                <c:pt idx="2">
                  <c:v>5.2322797602594444E-2</c:v>
                </c:pt>
                <c:pt idx="3">
                  <c:v>1.4167344994399169</c:v>
                </c:pt>
                <c:pt idx="4">
                  <c:v>2.1021675904314305</c:v>
                </c:pt>
                <c:pt idx="5">
                  <c:v>1.8450502312056138</c:v>
                </c:pt>
                <c:pt idx="6">
                  <c:v>1.5202109626587035</c:v>
                </c:pt>
                <c:pt idx="7">
                  <c:v>1.7212780219238839</c:v>
                </c:pt>
                <c:pt idx="8">
                  <c:v>-1.1591693098249445</c:v>
                </c:pt>
                <c:pt idx="9">
                  <c:v>-5.9358687022556369</c:v>
                </c:pt>
                <c:pt idx="10">
                  <c:v>4.1318495689043209</c:v>
                </c:pt>
                <c:pt idx="11">
                  <c:v>-0.18553754912203441</c:v>
                </c:pt>
                <c:pt idx="12">
                  <c:v>1.6563340852236992</c:v>
                </c:pt>
                <c:pt idx="13">
                  <c:v>2.0214207032064024</c:v>
                </c:pt>
                <c:pt idx="14">
                  <c:v>0.81909567168763264</c:v>
                </c:pt>
                <c:pt idx="15">
                  <c:v>1.8509580508362786</c:v>
                </c:pt>
                <c:pt idx="16">
                  <c:v>0.67053835427166308</c:v>
                </c:pt>
                <c:pt idx="17">
                  <c:v>1.6249004252931583</c:v>
                </c:pt>
                <c:pt idx="18">
                  <c:v>0.85320155445740231</c:v>
                </c:pt>
                <c:pt idx="19">
                  <c:v>-0.3121139674744533</c:v>
                </c:pt>
                <c:pt idx="20">
                  <c:v>-4.3303663551756921</c:v>
                </c:pt>
                <c:pt idx="21">
                  <c:v>3.6547991541814047</c:v>
                </c:pt>
                <c:pt idx="22">
                  <c:v>1.2888934396112672</c:v>
                </c:pt>
                <c:pt idx="23">
                  <c:v>0.7120366462398241</c:v>
                </c:pt>
                <c:pt idx="24">
                  <c:v>-0.16090508341253579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02-4FC4-910D-2B255147C48D}"/>
            </c:ext>
          </c:extLst>
        </c:ser>
        <c:ser>
          <c:idx val="1"/>
          <c:order val="1"/>
          <c:tx>
            <c:strRef>
              <c:f>Japan!$H$1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Japan!$H$2:$H$26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02-4FC4-910D-2B255147C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135987"/>
        <c:axId val="72821497"/>
      </c:lineChart>
      <c:dateAx>
        <c:axId val="241359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2821497"/>
        <c:crosses val="autoZero"/>
        <c:auto val="1"/>
        <c:lblOffset val="100"/>
        <c:baseTimeUnit val="years"/>
      </c:dateAx>
      <c:valAx>
        <c:axId val="728214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4135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JAPAN: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Japan!$D$2:$D$26</c:f>
              <c:numCache>
                <c:formatCode>General</c:formatCode>
                <c:ptCount val="25"/>
                <c:pt idx="0">
                  <c:v>500719.1</c:v>
                </c:pt>
                <c:pt idx="1">
                  <c:v>502075.6</c:v>
                </c:pt>
                <c:pt idx="2">
                  <c:v>502338.3</c:v>
                </c:pt>
                <c:pt idx="3">
                  <c:v>509455.1</c:v>
                </c:pt>
                <c:pt idx="4">
                  <c:v>520164.7</c:v>
                </c:pt>
                <c:pt idx="5">
                  <c:v>529762</c:v>
                </c:pt>
                <c:pt idx="6">
                  <c:v>537815.5</c:v>
                </c:pt>
                <c:pt idx="7">
                  <c:v>547072.80000000005</c:v>
                </c:pt>
                <c:pt idx="8">
                  <c:v>540731.30000000005</c:v>
                </c:pt>
                <c:pt idx="9">
                  <c:v>508634.2</c:v>
                </c:pt>
                <c:pt idx="10">
                  <c:v>529650.19999999995</c:v>
                </c:pt>
                <c:pt idx="11">
                  <c:v>528667.5</c:v>
                </c:pt>
                <c:pt idx="12">
                  <c:v>537424</c:v>
                </c:pt>
                <c:pt idx="13">
                  <c:v>548287.6</c:v>
                </c:pt>
                <c:pt idx="14">
                  <c:v>552778.6</c:v>
                </c:pt>
                <c:pt idx="15">
                  <c:v>563010.30000000005</c:v>
                </c:pt>
                <c:pt idx="16">
                  <c:v>566785.5</c:v>
                </c:pt>
                <c:pt idx="17">
                  <c:v>575995.19999999995</c:v>
                </c:pt>
                <c:pt idx="18">
                  <c:v>580909.6</c:v>
                </c:pt>
                <c:pt idx="19">
                  <c:v>579096.5</c:v>
                </c:pt>
                <c:pt idx="20">
                  <c:v>554019.5</c:v>
                </c:pt>
                <c:pt idx="21">
                  <c:v>574267.80000000005</c:v>
                </c:pt>
                <c:pt idx="22">
                  <c:v>581669.5</c:v>
                </c:pt>
                <c:pt idx="23">
                  <c:v>585811.19999999995</c:v>
                </c:pt>
                <c:pt idx="24">
                  <c:v>584868.6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25-4EE1-9E35-22197210F947}"/>
            </c:ext>
          </c:extLst>
        </c:ser>
        <c:ser>
          <c:idx val="1"/>
          <c:order val="1"/>
          <c:tx>
            <c:strRef>
              <c:f>Japan!$N$1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Japan!$N$2:$N$26</c:f>
              <c:numCache>
                <c:formatCode>0.00;[Red]0.00</c:formatCode>
                <c:ptCount val="25"/>
                <c:pt idx="0">
                  <c:v>502660.39061211573</c:v>
                </c:pt>
                <c:pt idx="1">
                  <c:v>506252.45842401474</c:v>
                </c:pt>
                <c:pt idx="2">
                  <c:v>509834.71184298507</c:v>
                </c:pt>
                <c:pt idx="3">
                  <c:v>513416.96526195534</c:v>
                </c:pt>
                <c:pt idx="4">
                  <c:v>516999.21868092567</c:v>
                </c:pt>
                <c:pt idx="5">
                  <c:v>520591.28649282467</c:v>
                </c:pt>
                <c:pt idx="6">
                  <c:v>524173.539911795</c:v>
                </c:pt>
                <c:pt idx="7">
                  <c:v>527755.79333076533</c:v>
                </c:pt>
                <c:pt idx="8">
                  <c:v>531338.04674973572</c:v>
                </c:pt>
                <c:pt idx="9">
                  <c:v>534930.1145616346</c:v>
                </c:pt>
                <c:pt idx="10">
                  <c:v>538512.36798060499</c:v>
                </c:pt>
                <c:pt idx="11">
                  <c:v>542094.62139957538</c:v>
                </c:pt>
                <c:pt idx="12">
                  <c:v>545676.87481854553</c:v>
                </c:pt>
                <c:pt idx="13">
                  <c:v>549268.94263044465</c:v>
                </c:pt>
                <c:pt idx="14">
                  <c:v>552851.19604941492</c:v>
                </c:pt>
                <c:pt idx="15">
                  <c:v>556433.4494683852</c:v>
                </c:pt>
                <c:pt idx="16">
                  <c:v>560015.70288735558</c:v>
                </c:pt>
                <c:pt idx="17">
                  <c:v>563607.77069925459</c:v>
                </c:pt>
                <c:pt idx="18">
                  <c:v>567190.02411822486</c:v>
                </c:pt>
                <c:pt idx="19">
                  <c:v>570772.27753719524</c:v>
                </c:pt>
                <c:pt idx="20">
                  <c:v>574354.53095616563</c:v>
                </c:pt>
                <c:pt idx="21">
                  <c:v>577946.59876806452</c:v>
                </c:pt>
                <c:pt idx="22">
                  <c:v>581528.85218703491</c:v>
                </c:pt>
                <c:pt idx="23">
                  <c:v>585111.10560600518</c:v>
                </c:pt>
                <c:pt idx="24">
                  <c:v>588693.35902497545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25-4EE1-9E35-22197210F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890326"/>
        <c:axId val="58425787"/>
      </c:lineChart>
      <c:dateAx>
        <c:axId val="73890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8425787"/>
        <c:crosses val="autoZero"/>
        <c:auto val="1"/>
        <c:lblOffset val="100"/>
        <c:baseTimeUnit val="years"/>
      </c:dateAx>
      <c:valAx>
        <c:axId val="58425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890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JAPAN: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Japan!$O$1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Japan!$O$2:$O$26</c:f>
              <c:numCache>
                <c:formatCode>0.00;[Red]0.00</c:formatCode>
                <c:ptCount val="25"/>
                <c:pt idx="0">
                  <c:v>-0.38620321958365306</c:v>
                </c:pt>
                <c:pt idx="1">
                  <c:v>-0.82505444754135071</c:v>
                </c:pt>
                <c:pt idx="2">
                  <c:v>-1.4703612109670881</c:v>
                </c:pt>
                <c:pt idx="3">
                  <c:v>-0.77166621479559805</c:v>
                </c:pt>
                <c:pt idx="4">
                  <c:v>0.61227971043182017</c:v>
                </c:pt>
                <c:pt idx="5">
                  <c:v>1.7615956596118958</c:v>
                </c:pt>
                <c:pt idx="6">
                  <c:v>2.6025655721768395</c:v>
                </c:pt>
                <c:pt idx="7">
                  <c:v>3.6602168869282288</c:v>
                </c:pt>
                <c:pt idx="8">
                  <c:v>1.7678487937621046</c:v>
                </c:pt>
                <c:pt idx="9">
                  <c:v>-4.9157663488778551</c:v>
                </c:pt>
                <c:pt idx="10">
                  <c:v>-1.6456758484188088</c:v>
                </c:pt>
                <c:pt idx="11">
                  <c:v>-2.4768962593484782</c:v>
                </c:pt>
                <c:pt idx="12">
                  <c:v>-1.5124105857133621</c:v>
                </c:pt>
                <c:pt idx="13">
                  <c:v>-0.17866341136002237</c:v>
                </c:pt>
                <c:pt idx="14">
                  <c:v>-1.3131209615481929E-2</c:v>
                </c:pt>
                <c:pt idx="15">
                  <c:v>1.1819653433664625</c:v>
                </c:pt>
                <c:pt idx="16">
                  <c:v>1.2088584441008305</c:v>
                </c:pt>
                <c:pt idx="17">
                  <c:v>2.1978812118535167</c:v>
                </c:pt>
                <c:pt idx="18">
                  <c:v>2.4188676278473151</c:v>
                </c:pt>
                <c:pt idx="19">
                  <c:v>1.4584139402710032</c:v>
                </c:pt>
                <c:pt idx="20">
                  <c:v>-3.5405015300066625</c:v>
                </c:pt>
                <c:pt idx="21">
                  <c:v>-0.63652918382184476</c:v>
                </c:pt>
                <c:pt idx="22">
                  <c:v>2.4185870131144784E-2</c:v>
                </c:pt>
                <c:pt idx="23">
                  <c:v>0.11965153067291058</c:v>
                </c:pt>
                <c:pt idx="24">
                  <c:v>-0.64970310371943674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A5-480B-950D-F0E8834FFF44}"/>
            </c:ext>
          </c:extLst>
        </c:ser>
        <c:ser>
          <c:idx val="1"/>
          <c:order val="1"/>
          <c:tx>
            <c:strRef>
              <c:f>Japan!$H$1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Japan!$H$2:$H$26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A5-480B-950D-F0E8834F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4565513"/>
        <c:axId val="58140277"/>
      </c:lineChart>
      <c:dateAx>
        <c:axId val="74565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8140277"/>
        <c:crosses val="autoZero"/>
        <c:auto val="1"/>
        <c:lblOffset val="100"/>
        <c:baseTimeUnit val="years"/>
      </c:dateAx>
      <c:valAx>
        <c:axId val="581402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4565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JAPAN: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Japan!$P$1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Japan!$P$2:$P$26</c:f>
              <c:numCache>
                <c:formatCode>0.00;[Red]0.00</c:formatCode>
                <c:ptCount val="25"/>
                <c:pt idx="1">
                  <c:v>-0.74005550416274324</c:v>
                </c:pt>
                <c:pt idx="2">
                  <c:v>-0.92349402694231064</c:v>
                </c:pt>
                <c:pt idx="3">
                  <c:v>-0.25654181631602785</c:v>
                </c:pt>
                <c:pt idx="4">
                  <c:v>-8.5733882031078928E-3</c:v>
                </c:pt>
                <c:pt idx="5">
                  <c:v>-0.28294606876438583</c:v>
                </c:pt>
                <c:pt idx="6">
                  <c:v>0.24935511607908617</c:v>
                </c:pt>
                <c:pt idx="7">
                  <c:v>6.0039454498657774E-2</c:v>
                </c:pt>
                <c:pt idx="8">
                  <c:v>1.3800788616491921</c:v>
                </c:pt>
                <c:pt idx="9">
                  <c:v>-1.3528367295171746</c:v>
                </c:pt>
                <c:pt idx="10">
                  <c:v>-0.72824320751777527</c:v>
                </c:pt>
                <c:pt idx="11">
                  <c:v>-0.27245561610124008</c:v>
                </c:pt>
                <c:pt idx="12">
                  <c:v>-4.4064510443258167E-2</c:v>
                </c:pt>
                <c:pt idx="13">
                  <c:v>0.33503791218474566</c:v>
                </c:pt>
                <c:pt idx="14">
                  <c:v>2.7592267135325215</c:v>
                </c:pt>
                <c:pt idx="15">
                  <c:v>0.79527963057983286</c:v>
                </c:pt>
                <c:pt idx="16">
                  <c:v>-0.12725884448975933</c:v>
                </c:pt>
                <c:pt idx="17">
                  <c:v>0.48419979612638764</c:v>
                </c:pt>
                <c:pt idx="18">
                  <c:v>0.98909459802185318</c:v>
                </c:pt>
                <c:pt idx="19">
                  <c:v>0.46877615938393663</c:v>
                </c:pt>
                <c:pt idx="20">
                  <c:v>-2.49958340277311E-2</c:v>
                </c:pt>
                <c:pt idx="21">
                  <c:v>-0.23335277939826252</c:v>
                </c:pt>
                <c:pt idx="22">
                  <c:v>2.4977027817225492</c:v>
                </c:pt>
                <c:pt idx="23">
                  <c:v>3.2681336593316339</c:v>
                </c:pt>
                <c:pt idx="24">
                  <c:v>2.7385368163524064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8D-4822-8920-CE6741357E24}"/>
            </c:ext>
          </c:extLst>
        </c:ser>
        <c:ser>
          <c:idx val="1"/>
          <c:order val="1"/>
          <c:tx>
            <c:strRef>
              <c:f>Japan!$Q$1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Japan!$Q$2:$Q$26</c:f>
              <c:numCache>
                <c:formatCode>0.00;[Red]0.00</c:formatCode>
                <c:ptCount val="25"/>
                <c:pt idx="1">
                  <c:v>-1.0085723539149014</c:v>
                </c:pt>
                <c:pt idx="2">
                  <c:v>-1.3945883953832672</c:v>
                </c:pt>
                <c:pt idx="3">
                  <c:v>-1.7813460926800533</c:v>
                </c:pt>
                <c:pt idx="4">
                  <c:v>-1.2803061686448545</c:v>
                </c:pt>
                <c:pt idx="5">
                  <c:v>-1.2823369618911789</c:v>
                </c:pt>
                <c:pt idx="6">
                  <c:v>-0.93251235903592866</c:v>
                </c:pt>
                <c:pt idx="7">
                  <c:v>-0.95379878592943856</c:v>
                </c:pt>
                <c:pt idx="8">
                  <c:v>-0.90208126645072406</c:v>
                </c:pt>
                <c:pt idx="9">
                  <c:v>-0.45424665840180062</c:v>
                </c:pt>
                <c:pt idx="10">
                  <c:v>-1.8913023780486364</c:v>
                </c:pt>
                <c:pt idx="11">
                  <c:v>-1.562026053737565</c:v>
                </c:pt>
                <c:pt idx="12">
                  <c:v>-0.82150680705395451</c:v>
                </c:pt>
                <c:pt idx="13">
                  <c:v>-0.18041494658022306</c:v>
                </c:pt>
                <c:pt idx="14">
                  <c:v>1.7453235935791758</c:v>
                </c:pt>
                <c:pt idx="15">
                  <c:v>2.0544410979549559</c:v>
                </c:pt>
                <c:pt idx="16">
                  <c:v>0.57301628149620631</c:v>
                </c:pt>
                <c:pt idx="17">
                  <c:v>4.3104168339944286E-2</c:v>
                </c:pt>
                <c:pt idx="18">
                  <c:v>-0.11664828565530448</c:v>
                </c:pt>
                <c:pt idx="19">
                  <c:v>0.7805050296089211</c:v>
                </c:pt>
                <c:pt idx="20">
                  <c:v>1.2325214550024945</c:v>
                </c:pt>
                <c:pt idx="21">
                  <c:v>-6.0240569060735272E-2</c:v>
                </c:pt>
                <c:pt idx="22">
                  <c:v>0.66440937117872301</c:v>
                </c:pt>
                <c:pt idx="23">
                  <c:v>4.5633122968918824</c:v>
                </c:pt>
                <c:pt idx="24">
                  <c:v>3.188129988816641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8D-4822-8920-CE6741357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695949"/>
        <c:axId val="21265221"/>
      </c:lineChart>
      <c:dateAx>
        <c:axId val="3695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1265221"/>
        <c:crosses val="autoZero"/>
        <c:auto val="1"/>
        <c:lblOffset val="100"/>
        <c:baseTimeUnit val="years"/>
      </c:dateAx>
      <c:valAx>
        <c:axId val="212652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695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JAPAN: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Japan!$A$2:$A$26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Japan!$B$2:$B$26</c:f>
              <c:numCache>
                <c:formatCode>General</c:formatCode>
                <c:ptCount val="25"/>
                <c:pt idx="0">
                  <c:v>4.7</c:v>
                </c:pt>
                <c:pt idx="1">
                  <c:v>5</c:v>
                </c:pt>
                <c:pt idx="2">
                  <c:v>5.4</c:v>
                </c:pt>
                <c:pt idx="3">
                  <c:v>5.2</c:v>
                </c:pt>
                <c:pt idx="4">
                  <c:v>4.7</c:v>
                </c:pt>
                <c:pt idx="5">
                  <c:v>4.4000000000000004</c:v>
                </c:pt>
                <c:pt idx="6">
                  <c:v>4.0999999999999996</c:v>
                </c:pt>
                <c:pt idx="7">
                  <c:v>3.8</c:v>
                </c:pt>
                <c:pt idx="8">
                  <c:v>4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4.5999999999999996</c:v>
                </c:pt>
                <c:pt idx="12">
                  <c:v>4.3</c:v>
                </c:pt>
                <c:pt idx="13">
                  <c:v>4</c:v>
                </c:pt>
                <c:pt idx="14">
                  <c:v>3.6</c:v>
                </c:pt>
                <c:pt idx="15">
                  <c:v>3.4</c:v>
                </c:pt>
                <c:pt idx="16">
                  <c:v>3.1</c:v>
                </c:pt>
                <c:pt idx="17">
                  <c:v>2.8</c:v>
                </c:pt>
                <c:pt idx="18">
                  <c:v>2.4</c:v>
                </c:pt>
                <c:pt idx="19">
                  <c:v>2.4</c:v>
                </c:pt>
                <c:pt idx="20">
                  <c:v>2.8</c:v>
                </c:pt>
                <c:pt idx="21">
                  <c:v>2.8</c:v>
                </c:pt>
                <c:pt idx="22">
                  <c:v>2.6</c:v>
                </c:pt>
                <c:pt idx="23">
                  <c:v>2.6</c:v>
                </c:pt>
                <c:pt idx="24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2A-4F0F-811C-9CCA6A63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219391"/>
        <c:axId val="61417869"/>
      </c:lineChart>
      <c:dateAx>
        <c:axId val="972193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1417869"/>
        <c:crosses val="autoZero"/>
        <c:auto val="1"/>
        <c:lblOffset val="100"/>
        <c:baseTimeUnit val="years"/>
      </c:dateAx>
      <c:valAx>
        <c:axId val="614178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72193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JAPAN: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JAPAN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Japan!$M$2:$M$26</c:f>
              <c:numCache>
                <c:formatCode>0.00;[Red]0.00</c:formatCode>
                <c:ptCount val="25"/>
                <c:pt idx="1">
                  <c:v>0.27091037669623547</c:v>
                </c:pt>
                <c:pt idx="2">
                  <c:v>5.2322797602594444E-2</c:v>
                </c:pt>
                <c:pt idx="3">
                  <c:v>1.4167344994399169</c:v>
                </c:pt>
                <c:pt idx="4">
                  <c:v>2.1021675904314305</c:v>
                </c:pt>
                <c:pt idx="5">
                  <c:v>1.8450502312056138</c:v>
                </c:pt>
                <c:pt idx="6">
                  <c:v>1.5202109626587035</c:v>
                </c:pt>
                <c:pt idx="7">
                  <c:v>1.7212780219238839</c:v>
                </c:pt>
                <c:pt idx="8">
                  <c:v>-1.1591693098249445</c:v>
                </c:pt>
                <c:pt idx="9">
                  <c:v>-5.9358687022556369</c:v>
                </c:pt>
                <c:pt idx="10">
                  <c:v>4.1318495689043209</c:v>
                </c:pt>
                <c:pt idx="11">
                  <c:v>-0.18553754912203441</c:v>
                </c:pt>
                <c:pt idx="12">
                  <c:v>1.6563340852236992</c:v>
                </c:pt>
                <c:pt idx="13">
                  <c:v>2.0214207032064024</c:v>
                </c:pt>
                <c:pt idx="14">
                  <c:v>0.81909567168763264</c:v>
                </c:pt>
                <c:pt idx="15">
                  <c:v>1.8509580508362786</c:v>
                </c:pt>
                <c:pt idx="16">
                  <c:v>0.67053835427166308</c:v>
                </c:pt>
                <c:pt idx="17">
                  <c:v>1.6249004252931583</c:v>
                </c:pt>
                <c:pt idx="18">
                  <c:v>0.85320155445740231</c:v>
                </c:pt>
                <c:pt idx="19">
                  <c:v>-0.3121139674744533</c:v>
                </c:pt>
                <c:pt idx="20">
                  <c:v>-4.3303663551756921</c:v>
                </c:pt>
                <c:pt idx="21">
                  <c:v>3.6547991541814047</c:v>
                </c:pt>
                <c:pt idx="22">
                  <c:v>1.2888934396112672</c:v>
                </c:pt>
                <c:pt idx="23">
                  <c:v>0.7120366462398241</c:v>
                </c:pt>
                <c:pt idx="24">
                  <c:v>-0.16090508341253579</c:v>
                </c:pt>
              </c:numCache>
            </c:numRef>
          </c:xVal>
          <c:yVal>
            <c:numRef>
              <c:f>Japan!$R$2:$R$26</c:f>
              <c:numCache>
                <c:formatCode>0.00;[Red]0.00</c:formatCode>
                <c:ptCount val="25"/>
                <c:pt idx="1">
                  <c:v>0.29999999999999982</c:v>
                </c:pt>
                <c:pt idx="2">
                  <c:v>0.40000000000000036</c:v>
                </c:pt>
                <c:pt idx="3">
                  <c:v>-0.20000000000000018</c:v>
                </c:pt>
                <c:pt idx="4">
                  <c:v>-0.5</c:v>
                </c:pt>
                <c:pt idx="5">
                  <c:v>-0.29999999999999982</c:v>
                </c:pt>
                <c:pt idx="6">
                  <c:v>-0.30000000000000071</c:v>
                </c:pt>
                <c:pt idx="7">
                  <c:v>-0.29999999999999982</c:v>
                </c:pt>
                <c:pt idx="8">
                  <c:v>0.20000000000000018</c:v>
                </c:pt>
                <c:pt idx="9">
                  <c:v>1.0999999999999996</c:v>
                </c:pt>
                <c:pt idx="10">
                  <c:v>0</c:v>
                </c:pt>
                <c:pt idx="11">
                  <c:v>-0.5</c:v>
                </c:pt>
                <c:pt idx="12">
                  <c:v>-0.29999999999999982</c:v>
                </c:pt>
                <c:pt idx="13">
                  <c:v>-0.29999999999999982</c:v>
                </c:pt>
                <c:pt idx="14">
                  <c:v>-0.39999999999999991</c:v>
                </c:pt>
                <c:pt idx="15">
                  <c:v>-0.20000000000000018</c:v>
                </c:pt>
                <c:pt idx="16">
                  <c:v>-0.29999999999999982</c:v>
                </c:pt>
                <c:pt idx="17">
                  <c:v>-0.30000000000000027</c:v>
                </c:pt>
                <c:pt idx="18">
                  <c:v>-0.39999999999999991</c:v>
                </c:pt>
                <c:pt idx="19">
                  <c:v>0</c:v>
                </c:pt>
                <c:pt idx="20">
                  <c:v>0.39999999999999991</c:v>
                </c:pt>
                <c:pt idx="21">
                  <c:v>0</c:v>
                </c:pt>
                <c:pt idx="22">
                  <c:v>-0.19999999999999973</c:v>
                </c:pt>
                <c:pt idx="23">
                  <c:v>0</c:v>
                </c:pt>
                <c:pt idx="24">
                  <c:v>-0.10000000000000009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CB-4B45-9FA4-5BBC35DD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6084"/>
        <c:axId val="33670308"/>
      </c:scatterChart>
      <c:valAx>
        <c:axId val="171560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70308"/>
        <c:crosses val="autoZero"/>
        <c:crossBetween val="midCat"/>
      </c:valAx>
      <c:valAx>
        <c:axId val="33670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60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UK: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UK!$C$1</c:f>
              <c:strCache>
                <c:ptCount val="1"/>
                <c:pt idx="0">
                  <c:v>Nominal GDP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UK!$C$2:$C$26</c:f>
              <c:numCache>
                <c:formatCode>General</c:formatCode>
                <c:ptCount val="25"/>
                <c:pt idx="0">
                  <c:v>1104759</c:v>
                </c:pt>
                <c:pt idx="1">
                  <c:v>1150542</c:v>
                </c:pt>
                <c:pt idx="2">
                  <c:v>1194646</c:v>
                </c:pt>
                <c:pt idx="3">
                  <c:v>1262502</c:v>
                </c:pt>
                <c:pt idx="4">
                  <c:v>1327143</c:v>
                </c:pt>
                <c:pt idx="5">
                  <c:v>1403249</c:v>
                </c:pt>
                <c:pt idx="6">
                  <c:v>1478080</c:v>
                </c:pt>
                <c:pt idx="7">
                  <c:v>1551729</c:v>
                </c:pt>
                <c:pt idx="8">
                  <c:v>1602217</c:v>
                </c:pt>
                <c:pt idx="9">
                  <c:v>1559405</c:v>
                </c:pt>
                <c:pt idx="10">
                  <c:v>1615839</c:v>
                </c:pt>
                <c:pt idx="11">
                  <c:v>1669945</c:v>
                </c:pt>
                <c:pt idx="12">
                  <c:v>1721708</c:v>
                </c:pt>
                <c:pt idx="13">
                  <c:v>1789072</c:v>
                </c:pt>
                <c:pt idx="14">
                  <c:v>1875066</c:v>
                </c:pt>
                <c:pt idx="15">
                  <c:v>1928016</c:v>
                </c:pt>
                <c:pt idx="16">
                  <c:v>2004755</c:v>
                </c:pt>
                <c:pt idx="17">
                  <c:v>2097222</c:v>
                </c:pt>
                <c:pt idx="18">
                  <c:v>2171559</c:v>
                </c:pt>
                <c:pt idx="19">
                  <c:v>2252961</c:v>
                </c:pt>
                <c:pt idx="20">
                  <c:v>2124720</c:v>
                </c:pt>
                <c:pt idx="21">
                  <c:v>2322652</c:v>
                </c:pt>
                <c:pt idx="22">
                  <c:v>2580949</c:v>
                </c:pt>
                <c:pt idx="23">
                  <c:v>2752164</c:v>
                </c:pt>
                <c:pt idx="24">
                  <c:v>2890254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56-4AC0-9E84-C127C91DEB4F}"/>
            </c:ext>
          </c:extLst>
        </c:ser>
        <c:ser>
          <c:idx val="1"/>
          <c:order val="1"/>
          <c:tx>
            <c:strRef>
              <c:f>UK!$D$1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UK!$D$2:$D$26</c:f>
              <c:numCache>
                <c:formatCode>General</c:formatCode>
                <c:ptCount val="25"/>
                <c:pt idx="0">
                  <c:v>1940007</c:v>
                </c:pt>
                <c:pt idx="1">
                  <c:v>1986393</c:v>
                </c:pt>
                <c:pt idx="2">
                  <c:v>2020341</c:v>
                </c:pt>
                <c:pt idx="3">
                  <c:v>2085366</c:v>
                </c:pt>
                <c:pt idx="4">
                  <c:v>2133872</c:v>
                </c:pt>
                <c:pt idx="5">
                  <c:v>2193421</c:v>
                </c:pt>
                <c:pt idx="6">
                  <c:v>2241453</c:v>
                </c:pt>
                <c:pt idx="7">
                  <c:v>2307148</c:v>
                </c:pt>
                <c:pt idx="8">
                  <c:v>2306008</c:v>
                </c:pt>
                <c:pt idx="9">
                  <c:v>2200222</c:v>
                </c:pt>
                <c:pt idx="10">
                  <c:v>2249959</c:v>
                </c:pt>
                <c:pt idx="11">
                  <c:v>2269116</c:v>
                </c:pt>
                <c:pt idx="12">
                  <c:v>2303794</c:v>
                </c:pt>
                <c:pt idx="13">
                  <c:v>2343384</c:v>
                </c:pt>
                <c:pt idx="14">
                  <c:v>2417439</c:v>
                </c:pt>
                <c:pt idx="15">
                  <c:v>2469182</c:v>
                </c:pt>
                <c:pt idx="16">
                  <c:v>2523665</c:v>
                </c:pt>
                <c:pt idx="17">
                  <c:v>2599961</c:v>
                </c:pt>
                <c:pt idx="18">
                  <c:v>2640295</c:v>
                </c:pt>
                <c:pt idx="19">
                  <c:v>2673465</c:v>
                </c:pt>
                <c:pt idx="20">
                  <c:v>2404838</c:v>
                </c:pt>
                <c:pt idx="21">
                  <c:v>2610286</c:v>
                </c:pt>
                <c:pt idx="22">
                  <c:v>2744708</c:v>
                </c:pt>
                <c:pt idx="23">
                  <c:v>2752164</c:v>
                </c:pt>
                <c:pt idx="24">
                  <c:v>2780853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56-4AC0-9E84-C127C91D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941224"/>
        <c:axId val="49881081"/>
      </c:lineChart>
      <c:dateAx>
        <c:axId val="15941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9881081"/>
        <c:crosses val="autoZero"/>
        <c:auto val="1"/>
        <c:lblOffset val="100"/>
        <c:baseTimeUnit val="years"/>
      </c:dateAx>
      <c:valAx>
        <c:axId val="498810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5941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UK: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UK!$L$1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UK!$L$2:$L$26</c:f>
              <c:numCache>
                <c:formatCode>0.00;[Red]0.00</c:formatCode>
                <c:ptCount val="25"/>
                <c:pt idx="1">
                  <c:v>2.3910223004349982</c:v>
                </c:pt>
                <c:pt idx="2">
                  <c:v>1.7090273676961205</c:v>
                </c:pt>
                <c:pt idx="3">
                  <c:v>3.2185160821861256</c:v>
                </c:pt>
                <c:pt idx="4">
                  <c:v>2.3260185502209203</c:v>
                </c:pt>
                <c:pt idx="5">
                  <c:v>2.7906547346794932</c:v>
                </c:pt>
                <c:pt idx="6">
                  <c:v>2.189821288298051</c:v>
                </c:pt>
                <c:pt idx="7">
                  <c:v>2.9309113329612533</c:v>
                </c:pt>
                <c:pt idx="8">
                  <c:v>-4.9411654562256088E-2</c:v>
                </c:pt>
                <c:pt idx="9">
                  <c:v>-4.5874081963288935</c:v>
                </c:pt>
                <c:pt idx="10">
                  <c:v>2.260544617770389</c:v>
                </c:pt>
                <c:pt idx="11">
                  <c:v>0.85143773730987982</c:v>
                </c:pt>
                <c:pt idx="12">
                  <c:v>1.5282603445570875</c:v>
                </c:pt>
                <c:pt idx="13">
                  <c:v>1.7184696201136038</c:v>
                </c:pt>
                <c:pt idx="14">
                  <c:v>3.1601734926926186</c:v>
                </c:pt>
                <c:pt idx="15">
                  <c:v>2.1404056110619543</c:v>
                </c:pt>
                <c:pt idx="16">
                  <c:v>2.2065202160067585</c:v>
                </c:pt>
                <c:pt idx="17">
                  <c:v>3.0232221788549589</c:v>
                </c:pt>
                <c:pt idx="18">
                  <c:v>1.5513309622721265</c:v>
                </c:pt>
                <c:pt idx="19">
                  <c:v>1.2562990120422148</c:v>
                </c:pt>
                <c:pt idx="20">
                  <c:v>-10.047896643494491</c:v>
                </c:pt>
                <c:pt idx="21">
                  <c:v>8.5431118437083917</c:v>
                </c:pt>
                <c:pt idx="22">
                  <c:v>5.1497039021777695</c:v>
                </c:pt>
                <c:pt idx="23">
                  <c:v>0.27165002615943112</c:v>
                </c:pt>
                <c:pt idx="24">
                  <c:v>1.0424160769489028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B7-48FF-BCC2-DF5B51ECE252}"/>
            </c:ext>
          </c:extLst>
        </c:ser>
        <c:ser>
          <c:idx val="1"/>
          <c:order val="1"/>
          <c:tx>
            <c:strRef>
              <c:f>UK!$G$1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B7-48FF-BCC2-DF5B51ECE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648017"/>
        <c:axId val="49499346"/>
      </c:lineChart>
      <c:dateAx>
        <c:axId val="80648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9499346"/>
        <c:crosses val="autoZero"/>
        <c:auto val="1"/>
        <c:lblOffset val="100"/>
        <c:baseTimeUnit val="years"/>
      </c:dateAx>
      <c:valAx>
        <c:axId val="494993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0648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UK: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UK!$D$1</c:f>
              <c:strCache>
                <c:ptCount val="1"/>
                <c:pt idx="0">
                  <c:v>Real GDP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UK!$D$2:$D$26</c:f>
              <c:numCache>
                <c:formatCode>General</c:formatCode>
                <c:ptCount val="25"/>
                <c:pt idx="0">
                  <c:v>1940007</c:v>
                </c:pt>
                <c:pt idx="1">
                  <c:v>1986393</c:v>
                </c:pt>
                <c:pt idx="2">
                  <c:v>2020341</c:v>
                </c:pt>
                <c:pt idx="3">
                  <c:v>2085366</c:v>
                </c:pt>
                <c:pt idx="4">
                  <c:v>2133872</c:v>
                </c:pt>
                <c:pt idx="5">
                  <c:v>2193421</c:v>
                </c:pt>
                <c:pt idx="6">
                  <c:v>2241453</c:v>
                </c:pt>
                <c:pt idx="7">
                  <c:v>2307148</c:v>
                </c:pt>
                <c:pt idx="8">
                  <c:v>2306008</c:v>
                </c:pt>
                <c:pt idx="9">
                  <c:v>2200222</c:v>
                </c:pt>
                <c:pt idx="10">
                  <c:v>2249959</c:v>
                </c:pt>
                <c:pt idx="11">
                  <c:v>2269116</c:v>
                </c:pt>
                <c:pt idx="12">
                  <c:v>2303794</c:v>
                </c:pt>
                <c:pt idx="13">
                  <c:v>2343384</c:v>
                </c:pt>
                <c:pt idx="14">
                  <c:v>2417439</c:v>
                </c:pt>
                <c:pt idx="15">
                  <c:v>2469182</c:v>
                </c:pt>
                <c:pt idx="16">
                  <c:v>2523665</c:v>
                </c:pt>
                <c:pt idx="17">
                  <c:v>2599961</c:v>
                </c:pt>
                <c:pt idx="18">
                  <c:v>2640295</c:v>
                </c:pt>
                <c:pt idx="19">
                  <c:v>2673465</c:v>
                </c:pt>
                <c:pt idx="20">
                  <c:v>2404838</c:v>
                </c:pt>
                <c:pt idx="21">
                  <c:v>2610286</c:v>
                </c:pt>
                <c:pt idx="22">
                  <c:v>2744708</c:v>
                </c:pt>
                <c:pt idx="23">
                  <c:v>2752164</c:v>
                </c:pt>
                <c:pt idx="24">
                  <c:v>2780853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CA-4421-8C98-02BEBCB2DB94}"/>
            </c:ext>
          </c:extLst>
        </c:ser>
        <c:ser>
          <c:idx val="1"/>
          <c:order val="1"/>
          <c:tx>
            <c:strRef>
              <c:f>UK!$M$1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UK!$M$2:$M$26</c:f>
              <c:numCache>
                <c:formatCode>0.00;[Red]0.00</c:formatCode>
                <c:ptCount val="25"/>
                <c:pt idx="0">
                  <c:v>1980595.7163472134</c:v>
                </c:pt>
                <c:pt idx="1">
                  <c:v>2012934.1565886992</c:v>
                </c:pt>
                <c:pt idx="2">
                  <c:v>2045184.2404360827</c:v>
                </c:pt>
                <c:pt idx="3">
                  <c:v>2077434.3242834662</c:v>
                </c:pt>
                <c:pt idx="4">
                  <c:v>2109684.4081308502</c:v>
                </c:pt>
                <c:pt idx="5">
                  <c:v>2142022.848372336</c:v>
                </c:pt>
                <c:pt idx="6">
                  <c:v>2174272.9322197195</c:v>
                </c:pt>
                <c:pt idx="7">
                  <c:v>2206523.016067103</c:v>
                </c:pt>
                <c:pt idx="8">
                  <c:v>2238773.0999144865</c:v>
                </c:pt>
                <c:pt idx="9">
                  <c:v>2271111.5401559728</c:v>
                </c:pt>
                <c:pt idx="10">
                  <c:v>2303361.6240033563</c:v>
                </c:pt>
                <c:pt idx="11">
                  <c:v>2335611.7078507398</c:v>
                </c:pt>
                <c:pt idx="12">
                  <c:v>2367861.7916981233</c:v>
                </c:pt>
                <c:pt idx="13">
                  <c:v>2400200.2319396092</c:v>
                </c:pt>
                <c:pt idx="14">
                  <c:v>2432450.3157869927</c:v>
                </c:pt>
                <c:pt idx="15">
                  <c:v>2464700.3996343766</c:v>
                </c:pt>
                <c:pt idx="16">
                  <c:v>2496950.4834817601</c:v>
                </c:pt>
                <c:pt idx="17">
                  <c:v>2529288.923723246</c:v>
                </c:pt>
                <c:pt idx="18">
                  <c:v>2561539.0075706295</c:v>
                </c:pt>
                <c:pt idx="19">
                  <c:v>2593789.091418013</c:v>
                </c:pt>
                <c:pt idx="20">
                  <c:v>2626039.1752653965</c:v>
                </c:pt>
                <c:pt idx="21">
                  <c:v>2658377.6155068828</c:v>
                </c:pt>
                <c:pt idx="22">
                  <c:v>2690627.6993542663</c:v>
                </c:pt>
                <c:pt idx="23">
                  <c:v>2722877.7832016498</c:v>
                </c:pt>
                <c:pt idx="24">
                  <c:v>2755127.8670490333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CA-4421-8C98-02BEBCB2D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156264"/>
        <c:axId val="42943550"/>
      </c:lineChart>
      <c:dateAx>
        <c:axId val="641562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2943550"/>
        <c:crosses val="autoZero"/>
        <c:auto val="1"/>
        <c:lblOffset val="100"/>
        <c:baseTimeUnit val="years"/>
      </c:dateAx>
      <c:valAx>
        <c:axId val="429435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4156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UK: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UK!$N$1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UK!$N$2:$N$26</c:f>
              <c:numCache>
                <c:formatCode>0.00;[Red]0.00</c:formatCode>
                <c:ptCount val="25"/>
                <c:pt idx="0">
                  <c:v>-2.0493185970365828</c:v>
                </c:pt>
                <c:pt idx="1">
                  <c:v>-1.3185307875980532</c:v>
                </c:pt>
                <c:pt idx="2">
                  <c:v>-1.2147189453594422</c:v>
                </c:pt>
                <c:pt idx="3">
                  <c:v>0.38180151467698153</c:v>
                </c:pt>
                <c:pt idx="4">
                  <c:v>1.1465028501859991</c:v>
                </c:pt>
                <c:pt idx="5">
                  <c:v>2.3995146301413182</c:v>
                </c:pt>
                <c:pt idx="6">
                  <c:v>3.0897716098455139</c:v>
                </c:pt>
                <c:pt idx="7">
                  <c:v>4.5603414603057484</c:v>
                </c:pt>
                <c:pt idx="8">
                  <c:v>3.0032029636268911</c:v>
                </c:pt>
                <c:pt idx="9">
                  <c:v>-3.1213588105454453</c:v>
                </c:pt>
                <c:pt idx="10">
                  <c:v>-2.3184646061151235</c:v>
                </c:pt>
                <c:pt idx="11">
                  <c:v>-2.8470360731292121</c:v>
                </c:pt>
                <c:pt idx="12">
                  <c:v>-2.7057234473206648</c:v>
                </c:pt>
                <c:pt idx="13">
                  <c:v>-2.3671455065936642</c:v>
                </c:pt>
                <c:pt idx="14">
                  <c:v>-0.6171273340946295</c:v>
                </c:pt>
                <c:pt idx="15">
                  <c:v>0.18183144556994368</c:v>
                </c:pt>
                <c:pt idx="16">
                  <c:v>1.0698857143930627</c:v>
                </c:pt>
                <c:pt idx="17">
                  <c:v>2.7941480158273508</c:v>
                </c:pt>
                <c:pt idx="18">
                  <c:v>3.0745576076181997</c:v>
                </c:pt>
                <c:pt idx="19">
                  <c:v>3.071795962347446</c:v>
                </c:pt>
                <c:pt idx="20">
                  <c:v>-8.4233768235023039</c:v>
                </c:pt>
                <c:pt idx="21">
                  <c:v>-1.8090588495161164</c:v>
                </c:pt>
                <c:pt idx="22">
                  <c:v>2.009951085343864</c:v>
                </c:pt>
                <c:pt idx="23">
                  <c:v>1.0755611940802761</c:v>
                </c:pt>
                <c:pt idx="24">
                  <c:v>0.93371829520640104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7C-46E7-B77B-BAF3801908C0}"/>
            </c:ext>
          </c:extLst>
        </c:ser>
        <c:ser>
          <c:idx val="1"/>
          <c:order val="1"/>
          <c:tx>
            <c:strRef>
              <c:f>UK!$G$1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7C-46E7-B77B-BAF380190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095655"/>
        <c:axId val="55971263"/>
      </c:lineChart>
      <c:dateAx>
        <c:axId val="240956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5971263"/>
        <c:crosses val="autoZero"/>
        <c:auto val="1"/>
        <c:lblOffset val="100"/>
        <c:baseTimeUnit val="years"/>
      </c:dateAx>
      <c:valAx>
        <c:axId val="559712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4095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UK: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UK!$O$1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UK!$O$2:$O$26</c:f>
              <c:numCache>
                <c:formatCode>0.00;[Red]0.00</c:formatCode>
                <c:ptCount val="25"/>
                <c:pt idx="1">
                  <c:v>1.5323496027241785</c:v>
                </c:pt>
                <c:pt idx="2">
                  <c:v>1.52040245947452</c:v>
                </c:pt>
                <c:pt idx="3">
                  <c:v>1.3765003854201536</c:v>
                </c:pt>
                <c:pt idx="4">
                  <c:v>1.3903975668043098</c:v>
                </c:pt>
                <c:pt idx="5">
                  <c:v>2.0891364902506973</c:v>
                </c:pt>
                <c:pt idx="6">
                  <c:v>2.4556616643929106</c:v>
                </c:pt>
                <c:pt idx="7">
                  <c:v>2.3865615077331879</c:v>
                </c:pt>
                <c:pt idx="8">
                  <c:v>3.5214085634254642</c:v>
                </c:pt>
                <c:pt idx="9">
                  <c:v>1.9617317356009962</c:v>
                </c:pt>
                <c:pt idx="10">
                  <c:v>2.4926547246706945</c:v>
                </c:pt>
                <c:pt idx="11">
                  <c:v>3.856112446828182</c:v>
                </c:pt>
                <c:pt idx="12">
                  <c:v>2.5732347965453521</c:v>
                </c:pt>
                <c:pt idx="13">
                  <c:v>2.2916666666666696</c:v>
                </c:pt>
                <c:pt idx="14">
                  <c:v>1.4511201629327872</c:v>
                </c:pt>
                <c:pt idx="15">
                  <c:v>0.36804684232532314</c:v>
                </c:pt>
                <c:pt idx="16">
                  <c:v>1.0084173681140736</c:v>
                </c:pt>
                <c:pt idx="17">
                  <c:v>2.5577557755772298</c:v>
                </c:pt>
                <c:pt idx="18">
                  <c:v>2.29283990345938</c:v>
                </c:pt>
                <c:pt idx="19">
                  <c:v>1.7381046008644967</c:v>
                </c:pt>
                <c:pt idx="20">
                  <c:v>0.98948670377274006</c:v>
                </c:pt>
                <c:pt idx="21">
                  <c:v>2.5183710961423791</c:v>
                </c:pt>
                <c:pt idx="22">
                  <c:v>7.9220488314794624</c:v>
                </c:pt>
                <c:pt idx="23">
                  <c:v>6.793967067939402</c:v>
                </c:pt>
                <c:pt idx="24">
                  <c:v>3.271572946358889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A4-4534-94A9-F0AA42A5B9FA}"/>
            </c:ext>
          </c:extLst>
        </c:ser>
        <c:ser>
          <c:idx val="1"/>
          <c:order val="1"/>
          <c:tx>
            <c:strRef>
              <c:f>UK!$P$1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UK!$P$2:$P$26</c:f>
              <c:numCache>
                <c:formatCode>0.00;[Red]0.00</c:formatCode>
                <c:ptCount val="25"/>
                <c:pt idx="1">
                  <c:v>1.712200365357514</c:v>
                </c:pt>
                <c:pt idx="2">
                  <c:v>2.0886016314423319</c:v>
                </c:pt>
                <c:pt idx="3">
                  <c:v>2.3847396616547538</c:v>
                </c:pt>
                <c:pt idx="4">
                  <c:v>2.7305396870541361</c:v>
                </c:pt>
                <c:pt idx="5">
                  <c:v>2.8639952408709082</c:v>
                </c:pt>
                <c:pt idx="6">
                  <c:v>3.0755259549409995</c:v>
                </c:pt>
                <c:pt idx="7">
                  <c:v>1.9934114345446261</c:v>
                </c:pt>
                <c:pt idx="8">
                  <c:v>3.3047054805255112</c:v>
                </c:pt>
                <c:pt idx="9">
                  <c:v>2.0074506058366071</c:v>
                </c:pt>
                <c:pt idx="10">
                  <c:v>1.328371360024166</c:v>
                </c:pt>
                <c:pt idx="11">
                  <c:v>2.4759581891346496</c:v>
                </c:pt>
                <c:pt idx="12">
                  <c:v>1.5477686447094261</c:v>
                </c:pt>
                <c:pt idx="13">
                  <c:v>2.157087780696699</c:v>
                </c:pt>
                <c:pt idx="14">
                  <c:v>1.59601564882432</c:v>
                </c:pt>
                <c:pt idx="15">
                  <c:v>0.66917199275635375</c:v>
                </c:pt>
                <c:pt idx="16">
                  <c:v>1.7353935333135113</c:v>
                </c:pt>
                <c:pt idx="17">
                  <c:v>1.5425278344438302</c:v>
                </c:pt>
                <c:pt idx="18">
                  <c:v>1.962766110287278</c:v>
                </c:pt>
                <c:pt idx="19">
                  <c:v>2.4613304736392623</c:v>
                </c:pt>
                <c:pt idx="20">
                  <c:v>4.8423408643573822</c:v>
                </c:pt>
                <c:pt idx="21">
                  <c:v>0.71175653535977057</c:v>
                </c:pt>
                <c:pt idx="22">
                  <c:v>5.6786420260977017</c:v>
                </c:pt>
                <c:pt idx="23">
                  <c:v>6.3449142156625298</c:v>
                </c:pt>
                <c:pt idx="24">
                  <c:v>3.9340806579851484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A4-4534-94A9-F0AA42A5B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620749"/>
        <c:axId val="8400766"/>
      </c:lineChart>
      <c:dateAx>
        <c:axId val="926207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400766"/>
        <c:crosses val="autoZero"/>
        <c:auto val="1"/>
        <c:lblOffset val="100"/>
        <c:baseTimeUnit val="years"/>
      </c:dateAx>
      <c:valAx>
        <c:axId val="84007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26207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UK: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UK!$B$1</c:f>
              <c:strCache>
                <c:ptCount val="1"/>
                <c:pt idx="0">
                  <c:v>Unemployment rate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UK!$A$2:$A$26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UK!$B$2:$B$26</c:f>
              <c:numCache>
                <c:formatCode>General</c:formatCode>
                <c:ptCount val="25"/>
                <c:pt idx="0">
                  <c:v>5.5</c:v>
                </c:pt>
                <c:pt idx="1">
                  <c:v>5.0999999999999996</c:v>
                </c:pt>
                <c:pt idx="2">
                  <c:v>5.2</c:v>
                </c:pt>
                <c:pt idx="3">
                  <c:v>5</c:v>
                </c:pt>
                <c:pt idx="4">
                  <c:v>4.8</c:v>
                </c:pt>
                <c:pt idx="5">
                  <c:v>4.8</c:v>
                </c:pt>
                <c:pt idx="6">
                  <c:v>5.4</c:v>
                </c:pt>
                <c:pt idx="7">
                  <c:v>5.3</c:v>
                </c:pt>
                <c:pt idx="8">
                  <c:v>5.7</c:v>
                </c:pt>
                <c:pt idx="9">
                  <c:v>7.6</c:v>
                </c:pt>
                <c:pt idx="10">
                  <c:v>7.9</c:v>
                </c:pt>
                <c:pt idx="11">
                  <c:v>8.1</c:v>
                </c:pt>
                <c:pt idx="12">
                  <c:v>8</c:v>
                </c:pt>
                <c:pt idx="13">
                  <c:v>7.6</c:v>
                </c:pt>
                <c:pt idx="14">
                  <c:v>6.2</c:v>
                </c:pt>
                <c:pt idx="15">
                  <c:v>5.4</c:v>
                </c:pt>
                <c:pt idx="16">
                  <c:v>4.9000000000000004</c:v>
                </c:pt>
                <c:pt idx="17">
                  <c:v>4.4000000000000004</c:v>
                </c:pt>
                <c:pt idx="18">
                  <c:v>4.0999999999999996</c:v>
                </c:pt>
                <c:pt idx="19">
                  <c:v>3.9</c:v>
                </c:pt>
                <c:pt idx="20">
                  <c:v>4.5999999999999996</c:v>
                </c:pt>
                <c:pt idx="21">
                  <c:v>4.5</c:v>
                </c:pt>
                <c:pt idx="22">
                  <c:v>3.8</c:v>
                </c:pt>
                <c:pt idx="23">
                  <c:v>4.0999999999999996</c:v>
                </c:pt>
                <c:pt idx="24">
                  <c:v>4.3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48-4FCD-B87C-0088CD55A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8973785"/>
        <c:axId val="22670288"/>
      </c:lineChart>
      <c:dateAx>
        <c:axId val="58973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2670288"/>
        <c:crosses val="autoZero"/>
        <c:auto val="1"/>
        <c:lblOffset val="100"/>
        <c:baseTimeUnit val="years"/>
      </c:dateAx>
      <c:valAx>
        <c:axId val="226702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89737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UK: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UK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UK!$L$2:$L$26</c:f>
              <c:numCache>
                <c:formatCode>0.00;[Red]0.00</c:formatCode>
                <c:ptCount val="25"/>
                <c:pt idx="1">
                  <c:v>2.3910223004349982</c:v>
                </c:pt>
                <c:pt idx="2">
                  <c:v>1.7090273676961205</c:v>
                </c:pt>
                <c:pt idx="3">
                  <c:v>3.2185160821861256</c:v>
                </c:pt>
                <c:pt idx="4">
                  <c:v>2.3260185502209203</c:v>
                </c:pt>
                <c:pt idx="5">
                  <c:v>2.7906547346794932</c:v>
                </c:pt>
                <c:pt idx="6">
                  <c:v>2.189821288298051</c:v>
                </c:pt>
                <c:pt idx="7">
                  <c:v>2.9309113329612533</c:v>
                </c:pt>
                <c:pt idx="8">
                  <c:v>-4.9411654562256088E-2</c:v>
                </c:pt>
                <c:pt idx="9">
                  <c:v>-4.5874081963288935</c:v>
                </c:pt>
                <c:pt idx="10">
                  <c:v>2.260544617770389</c:v>
                </c:pt>
                <c:pt idx="11">
                  <c:v>0.85143773730987982</c:v>
                </c:pt>
                <c:pt idx="12">
                  <c:v>1.5282603445570875</c:v>
                </c:pt>
                <c:pt idx="13">
                  <c:v>1.7184696201136038</c:v>
                </c:pt>
                <c:pt idx="14">
                  <c:v>3.1601734926926186</c:v>
                </c:pt>
                <c:pt idx="15">
                  <c:v>2.1404056110619543</c:v>
                </c:pt>
                <c:pt idx="16">
                  <c:v>2.2065202160067585</c:v>
                </c:pt>
                <c:pt idx="17">
                  <c:v>3.0232221788549589</c:v>
                </c:pt>
                <c:pt idx="18">
                  <c:v>1.5513309622721265</c:v>
                </c:pt>
                <c:pt idx="19">
                  <c:v>1.2562990120422148</c:v>
                </c:pt>
                <c:pt idx="20">
                  <c:v>-10.047896643494491</c:v>
                </c:pt>
                <c:pt idx="21">
                  <c:v>8.5431118437083917</c:v>
                </c:pt>
                <c:pt idx="22">
                  <c:v>5.1497039021777695</c:v>
                </c:pt>
                <c:pt idx="23">
                  <c:v>0.27165002615943112</c:v>
                </c:pt>
                <c:pt idx="24">
                  <c:v>1.0424160769489028</c:v>
                </c:pt>
              </c:numCache>
            </c:numRef>
          </c:xVal>
          <c:yVal>
            <c:numRef>
              <c:f>UK!$Q$2:$Q$26</c:f>
              <c:numCache>
                <c:formatCode>0.00;[Red]0.00</c:formatCode>
                <c:ptCount val="25"/>
                <c:pt idx="1">
                  <c:v>-0.40000000000000036</c:v>
                </c:pt>
                <c:pt idx="2">
                  <c:v>0.10000000000000053</c:v>
                </c:pt>
                <c:pt idx="3">
                  <c:v>-0.20000000000000018</c:v>
                </c:pt>
                <c:pt idx="4">
                  <c:v>-0.20000000000000018</c:v>
                </c:pt>
                <c:pt idx="5">
                  <c:v>0</c:v>
                </c:pt>
                <c:pt idx="6">
                  <c:v>0.60000000000000053</c:v>
                </c:pt>
                <c:pt idx="7">
                  <c:v>-0.10000000000000053</c:v>
                </c:pt>
                <c:pt idx="8">
                  <c:v>0.40000000000000036</c:v>
                </c:pt>
                <c:pt idx="9">
                  <c:v>1.8999999999999995</c:v>
                </c:pt>
                <c:pt idx="10">
                  <c:v>0.30000000000000071</c:v>
                </c:pt>
                <c:pt idx="11">
                  <c:v>0.19999999999999929</c:v>
                </c:pt>
                <c:pt idx="12">
                  <c:v>-9.9999999999999645E-2</c:v>
                </c:pt>
                <c:pt idx="13">
                  <c:v>-0.40000000000000036</c:v>
                </c:pt>
                <c:pt idx="14">
                  <c:v>-1.3999999999999995</c:v>
                </c:pt>
                <c:pt idx="15">
                  <c:v>-0.79999999999999982</c:v>
                </c:pt>
                <c:pt idx="16">
                  <c:v>-0.5</c:v>
                </c:pt>
                <c:pt idx="17">
                  <c:v>-0.5</c:v>
                </c:pt>
                <c:pt idx="18">
                  <c:v>-0.30000000000000071</c:v>
                </c:pt>
                <c:pt idx="19">
                  <c:v>-0.19999999999999973</c:v>
                </c:pt>
                <c:pt idx="20">
                  <c:v>0.69999999999999973</c:v>
                </c:pt>
                <c:pt idx="21">
                  <c:v>-9.9999999999999645E-2</c:v>
                </c:pt>
                <c:pt idx="22">
                  <c:v>-0.70000000000000018</c:v>
                </c:pt>
                <c:pt idx="23">
                  <c:v>0.29999999999999982</c:v>
                </c:pt>
                <c:pt idx="24">
                  <c:v>0.20000000000000018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1D-4BC4-9E02-841D9EDF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5713"/>
        <c:axId val="69481695"/>
      </c:scatterChart>
      <c:valAx>
        <c:axId val="693357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1695"/>
        <c:crosses val="autoZero"/>
        <c:crossBetween val="midCat"/>
      </c:valAx>
      <c:valAx>
        <c:axId val="6948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571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IRAN: Nominal vs Real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Iran!$C$1</c:f>
              <c:strCache>
                <c:ptCount val="1"/>
                <c:pt idx="0">
                  <c:v>Nominal GDP (Billion Rials)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Iran!$C$2:$C$26</c:f>
              <c:numCache>
                <c:formatCode>0.00;[Red]0.00</c:formatCode>
                <c:ptCount val="25"/>
                <c:pt idx="0">
                  <c:v>628070.07999999996</c:v>
                </c:pt>
                <c:pt idx="1">
                  <c:v>738307.45</c:v>
                </c:pt>
                <c:pt idx="2">
                  <c:v>1023613.01</c:v>
                </c:pt>
                <c:pt idx="3">
                  <c:v>1258128.74</c:v>
                </c:pt>
                <c:pt idx="4">
                  <c:v>1582365.59</c:v>
                </c:pt>
                <c:pt idx="5">
                  <c:v>1970690.26</c:v>
                </c:pt>
                <c:pt idx="6">
                  <c:v>2372025.35</c:v>
                </c:pt>
                <c:pt idx="7">
                  <c:v>3132151.92</c:v>
                </c:pt>
                <c:pt idx="8">
                  <c:v>3744913.06</c:v>
                </c:pt>
                <c:pt idx="9">
                  <c:v>3935640.71</c:v>
                </c:pt>
                <c:pt idx="10">
                  <c:v>4796803.4400000004</c:v>
                </c:pt>
                <c:pt idx="11">
                  <c:v>6895999.71</c:v>
                </c:pt>
                <c:pt idx="12">
                  <c:v>7895676.7999999998</c:v>
                </c:pt>
                <c:pt idx="13">
                  <c:v>10634997.800000001</c:v>
                </c:pt>
                <c:pt idx="14">
                  <c:v>12254707.59</c:v>
                </c:pt>
                <c:pt idx="15">
                  <c:v>12103890.09</c:v>
                </c:pt>
                <c:pt idx="16">
                  <c:v>15023342.439999999</c:v>
                </c:pt>
                <c:pt idx="17">
                  <c:v>17457347.710000001</c:v>
                </c:pt>
                <c:pt idx="18">
                  <c:v>22333173.890000001</c:v>
                </c:pt>
                <c:pt idx="19">
                  <c:v>28551162.109999999</c:v>
                </c:pt>
                <c:pt idx="20">
                  <c:v>43708246.280000001</c:v>
                </c:pt>
                <c:pt idx="21">
                  <c:v>70939153.209999993</c:v>
                </c:pt>
                <c:pt idx="22">
                  <c:v>111838256.63</c:v>
                </c:pt>
                <c:pt idx="23">
                  <c:v>161734588.97999999</c:v>
                </c:pt>
                <c:pt idx="24">
                  <c:v>215225038.46000001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55-4A8D-9BE1-5FBAFC90D46D}"/>
            </c:ext>
          </c:extLst>
        </c:ser>
        <c:ser>
          <c:idx val="1"/>
          <c:order val="1"/>
          <c:tx>
            <c:strRef>
              <c:f>Iran!$D$1</c:f>
              <c:strCache>
                <c:ptCount val="1"/>
                <c:pt idx="0">
                  <c:v>Real GDP - Linked CBI Series (Billion Rials, 2021/22 prices)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Iran!$D$2:$D$26</c:f>
              <c:numCache>
                <c:formatCode>0.00;[Red]0.00</c:formatCode>
                <c:ptCount val="25"/>
                <c:pt idx="0">
                  <c:v>36661889.948275268</c:v>
                </c:pt>
                <c:pt idx="1">
                  <c:v>37538905.675350107</c:v>
                </c:pt>
                <c:pt idx="2">
                  <c:v>40571609.7783489</c:v>
                </c:pt>
                <c:pt idx="3">
                  <c:v>44076712.211648256</c:v>
                </c:pt>
                <c:pt idx="4">
                  <c:v>45988171.994576909</c:v>
                </c:pt>
                <c:pt idx="5">
                  <c:v>47923671.75424663</c:v>
                </c:pt>
                <c:pt idx="6">
                  <c:v>50657358.719269268</c:v>
                </c:pt>
                <c:pt idx="7">
                  <c:v>55275368.322959997</c:v>
                </c:pt>
                <c:pt idx="8">
                  <c:v>55785944.574243531</c:v>
                </c:pt>
                <c:pt idx="9">
                  <c:v>57077227.757385939</c:v>
                </c:pt>
                <c:pt idx="10">
                  <c:v>60831410.696997844</c:v>
                </c:pt>
                <c:pt idx="11">
                  <c:v>63112400.316188596</c:v>
                </c:pt>
                <c:pt idx="12">
                  <c:v>60747470.502544306</c:v>
                </c:pt>
                <c:pt idx="13">
                  <c:v>59822906.633967541</c:v>
                </c:pt>
                <c:pt idx="14">
                  <c:v>62804943.968269028</c:v>
                </c:pt>
                <c:pt idx="15">
                  <c:v>61910045.780482307</c:v>
                </c:pt>
                <c:pt idx="16">
                  <c:v>67367469.956454501</c:v>
                </c:pt>
                <c:pt idx="17">
                  <c:v>69406585.378304496</c:v>
                </c:pt>
                <c:pt idx="18">
                  <c:v>66805254.211912803</c:v>
                </c:pt>
                <c:pt idx="19">
                  <c:v>65227691.298105903</c:v>
                </c:pt>
                <c:pt idx="20">
                  <c:v>68124980.534720004</c:v>
                </c:pt>
                <c:pt idx="21">
                  <c:v>70939153.209926695</c:v>
                </c:pt>
                <c:pt idx="22">
                  <c:v>74027000.385632694</c:v>
                </c:pt>
                <c:pt idx="23">
                  <c:v>77974380.008413896</c:v>
                </c:pt>
                <c:pt idx="24">
                  <c:v>80830675.560512096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55-4A8D-9BE1-5FBAFC90D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1394660"/>
        <c:axId val="67027121"/>
      </c:lineChart>
      <c:catAx>
        <c:axId val="61394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7027121"/>
        <c:crosses val="autoZero"/>
        <c:auto val="1"/>
        <c:lblAlgn val="ctr"/>
        <c:lblOffset val="100"/>
        <c:noMultiLvlLbl val="0"/>
      </c:catAx>
      <c:valAx>
        <c:axId val="67027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1394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IRAN: 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Iran!$L$1</c:f>
              <c:strCache>
                <c:ptCount val="1"/>
                <c:pt idx="0">
                  <c:v>Real GDP Growth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Iran!$L$2:$L$26</c:f>
              <c:numCache>
                <c:formatCode>0.00;[Red]0.00</c:formatCode>
                <c:ptCount val="25"/>
                <c:pt idx="1">
                  <c:v>2.3921727120783576</c:v>
                </c:pt>
                <c:pt idx="2">
                  <c:v>8.0788292797523287</c:v>
                </c:pt>
                <c:pt idx="3">
                  <c:v>8.6392983972005428</c:v>
                </c:pt>
                <c:pt idx="4">
                  <c:v>4.336665978510772</c:v>
                </c:pt>
                <c:pt idx="5">
                  <c:v>4.2086903560723448</c:v>
                </c:pt>
                <c:pt idx="6">
                  <c:v>5.7042519175931048</c:v>
                </c:pt>
                <c:pt idx="7">
                  <c:v>9.1161673653034541</c:v>
                </c:pt>
                <c:pt idx="8">
                  <c:v>0.92369579212998809</c:v>
                </c:pt>
                <c:pt idx="9">
                  <c:v>2.3147106193100053</c:v>
                </c:pt>
                <c:pt idx="10">
                  <c:v>6.5773743524642425</c:v>
                </c:pt>
                <c:pt idx="11">
                  <c:v>3.7496904856479421</c:v>
                </c:pt>
                <c:pt idx="12">
                  <c:v>-3.7471713986414099</c:v>
                </c:pt>
                <c:pt idx="13">
                  <c:v>-1.5219792049416137</c:v>
                </c:pt>
                <c:pt idx="14">
                  <c:v>4.9847750670949198</c:v>
                </c:pt>
                <c:pt idx="15">
                  <c:v>-1.424884939374917</c:v>
                </c:pt>
                <c:pt idx="16">
                  <c:v>8.8150866425181924</c:v>
                </c:pt>
                <c:pt idx="17">
                  <c:v>3.026854686940232</c:v>
                </c:pt>
                <c:pt idx="18">
                  <c:v>-3.7479601571133219</c:v>
                </c:pt>
                <c:pt idx="19">
                  <c:v>-2.3614353877057579</c:v>
                </c:pt>
                <c:pt idx="20">
                  <c:v>4.4418086535867216</c:v>
                </c:pt>
                <c:pt idx="21">
                  <c:v>4.1308968503447039</c:v>
                </c:pt>
                <c:pt idx="22">
                  <c:v>4.3528108752134198</c:v>
                </c:pt>
                <c:pt idx="23">
                  <c:v>5.3323511721640928</c:v>
                </c:pt>
                <c:pt idx="24">
                  <c:v>3.6631205683071655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06-44A6-9B2D-C9549C0FD31A}"/>
            </c:ext>
          </c:extLst>
        </c:ser>
        <c:ser>
          <c:idx val="1"/>
          <c:order val="1"/>
          <c:tx>
            <c:strRef>
              <c:f>Iran!$G$1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06-44A6-9B2D-C9549C0FD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328291"/>
        <c:axId val="26705604"/>
      </c:lineChart>
      <c:catAx>
        <c:axId val="93282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6705604"/>
        <c:crosses val="autoZero"/>
        <c:auto val="1"/>
        <c:lblAlgn val="ctr"/>
        <c:lblOffset val="100"/>
        <c:noMultiLvlLbl val="0"/>
      </c:catAx>
      <c:valAx>
        <c:axId val="267056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328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IRAN: Actual Real GDP vs Potential (Trend) GDP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Iran!$D$1</c:f>
              <c:strCache>
                <c:ptCount val="1"/>
                <c:pt idx="0">
                  <c:v>Real GDP - Linked CBI Series (Billion Rials, 2021/22 prices)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Iran!$D$2:$D$26</c:f>
              <c:numCache>
                <c:formatCode>0.00;[Red]0.00</c:formatCode>
                <c:ptCount val="25"/>
                <c:pt idx="0">
                  <c:v>36661889.948275268</c:v>
                </c:pt>
                <c:pt idx="1">
                  <c:v>37538905.675350107</c:v>
                </c:pt>
                <c:pt idx="2">
                  <c:v>40571609.7783489</c:v>
                </c:pt>
                <c:pt idx="3">
                  <c:v>44076712.211648256</c:v>
                </c:pt>
                <c:pt idx="4">
                  <c:v>45988171.994576909</c:v>
                </c:pt>
                <c:pt idx="5">
                  <c:v>47923671.75424663</c:v>
                </c:pt>
                <c:pt idx="6">
                  <c:v>50657358.719269268</c:v>
                </c:pt>
                <c:pt idx="7">
                  <c:v>55275368.322959997</c:v>
                </c:pt>
                <c:pt idx="8">
                  <c:v>55785944.574243531</c:v>
                </c:pt>
                <c:pt idx="9">
                  <c:v>57077227.757385939</c:v>
                </c:pt>
                <c:pt idx="10">
                  <c:v>60831410.696997844</c:v>
                </c:pt>
                <c:pt idx="11">
                  <c:v>63112400.316188596</c:v>
                </c:pt>
                <c:pt idx="12">
                  <c:v>60747470.502544306</c:v>
                </c:pt>
                <c:pt idx="13">
                  <c:v>59822906.633967541</c:v>
                </c:pt>
                <c:pt idx="14">
                  <c:v>62804943.968269028</c:v>
                </c:pt>
                <c:pt idx="15">
                  <c:v>61910045.780482307</c:v>
                </c:pt>
                <c:pt idx="16">
                  <c:v>67367469.956454501</c:v>
                </c:pt>
                <c:pt idx="17">
                  <c:v>69406585.378304496</c:v>
                </c:pt>
                <c:pt idx="18">
                  <c:v>66805254.211912803</c:v>
                </c:pt>
                <c:pt idx="19">
                  <c:v>65227691.298105903</c:v>
                </c:pt>
                <c:pt idx="20">
                  <c:v>68124980.534720004</c:v>
                </c:pt>
                <c:pt idx="21">
                  <c:v>70939153.209926695</c:v>
                </c:pt>
                <c:pt idx="22">
                  <c:v>74027000.385632694</c:v>
                </c:pt>
                <c:pt idx="23">
                  <c:v>77974380.008413896</c:v>
                </c:pt>
                <c:pt idx="24">
                  <c:v>80830675.560512096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F6-40A2-AC30-D866BECBC365}"/>
            </c:ext>
          </c:extLst>
        </c:ser>
        <c:ser>
          <c:idx val="1"/>
          <c:order val="1"/>
          <c:tx>
            <c:strRef>
              <c:f>Iran!$M$1</c:f>
              <c:strCache>
                <c:ptCount val="1"/>
                <c:pt idx="0">
                  <c:v>Potential GDP (Linear Trend)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Iran!$M$2:$M$26</c:f>
              <c:numCache>
                <c:formatCode>0.00;[Red]0.00</c:formatCode>
                <c:ptCount val="25"/>
                <c:pt idx="0">
                  <c:v>40074525.672807217</c:v>
                </c:pt>
                <c:pt idx="1">
                  <c:v>41673279.297335625</c:v>
                </c:pt>
                <c:pt idx="2">
                  <c:v>43272032.92186451</c:v>
                </c:pt>
                <c:pt idx="3">
                  <c:v>44870786.546392918</c:v>
                </c:pt>
                <c:pt idx="4">
                  <c:v>46469540.170921326</c:v>
                </c:pt>
                <c:pt idx="5">
                  <c:v>48068293.795449734</c:v>
                </c:pt>
                <c:pt idx="6">
                  <c:v>49667047.419978619</c:v>
                </c:pt>
                <c:pt idx="7">
                  <c:v>51265801.044507027</c:v>
                </c:pt>
                <c:pt idx="8">
                  <c:v>52864554.669035435</c:v>
                </c:pt>
                <c:pt idx="9">
                  <c:v>54463308.293563843</c:v>
                </c:pt>
                <c:pt idx="10">
                  <c:v>56062061.918092728</c:v>
                </c:pt>
                <c:pt idx="11">
                  <c:v>57660815.542621136</c:v>
                </c:pt>
                <c:pt idx="12">
                  <c:v>59259569.167149544</c:v>
                </c:pt>
                <c:pt idx="13">
                  <c:v>60858322.791677952</c:v>
                </c:pt>
                <c:pt idx="14">
                  <c:v>62457076.416206837</c:v>
                </c:pt>
                <c:pt idx="15">
                  <c:v>64055830.040735245</c:v>
                </c:pt>
                <c:pt idx="16">
                  <c:v>65654583.665263653</c:v>
                </c:pt>
                <c:pt idx="17">
                  <c:v>67253337.289792061</c:v>
                </c:pt>
                <c:pt idx="18">
                  <c:v>68852090.914320946</c:v>
                </c:pt>
                <c:pt idx="19">
                  <c:v>70450844.538849354</c:v>
                </c:pt>
                <c:pt idx="20">
                  <c:v>72049598.163377762</c:v>
                </c:pt>
                <c:pt idx="21">
                  <c:v>73648351.78790617</c:v>
                </c:pt>
                <c:pt idx="22">
                  <c:v>75247105.412435055</c:v>
                </c:pt>
                <c:pt idx="23">
                  <c:v>76845859.036963463</c:v>
                </c:pt>
                <c:pt idx="24">
                  <c:v>78444612.661491871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F6-40A2-AC30-D866BECBC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3973255"/>
        <c:axId val="14580488"/>
      </c:lineChart>
      <c:catAx>
        <c:axId val="83973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4580488"/>
        <c:crosses val="autoZero"/>
        <c:auto val="1"/>
        <c:lblAlgn val="ctr"/>
        <c:lblOffset val="100"/>
        <c:noMultiLvlLbl val="0"/>
      </c:catAx>
      <c:valAx>
        <c:axId val="14580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GDP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3973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IRAN: 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Iran!$N$1</c:f>
              <c:strCache>
                <c:ptCount val="1"/>
                <c:pt idx="0">
                  <c:v>Output Gap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Iran!$N$2:$N$26</c:f>
              <c:numCache>
                <c:formatCode>0.00;[Red]0.00</c:formatCode>
                <c:ptCount val="25"/>
                <c:pt idx="0">
                  <c:v>-8.515723311099876</c:v>
                </c:pt>
                <c:pt idx="1">
                  <c:v>-9.9209222112977518</c:v>
                </c:pt>
                <c:pt idx="2">
                  <c:v>-6.240573786749775</c:v>
                </c:pt>
                <c:pt idx="3">
                  <c:v>-1.7696911417490993</c:v>
                </c:pt>
                <c:pt idx="4">
                  <c:v>-1.0358789318204549</c:v>
                </c:pt>
                <c:pt idx="5">
                  <c:v>-0.30086784818810075</c:v>
                </c:pt>
                <c:pt idx="6">
                  <c:v>1.9939000821141946</c:v>
                </c:pt>
                <c:pt idx="7">
                  <c:v>7.8211345512225892</c:v>
                </c:pt>
                <c:pt idx="8">
                  <c:v>5.5261789747360783</c:v>
                </c:pt>
                <c:pt idx="9">
                  <c:v>4.7994136708199093</c:v>
                </c:pt>
                <c:pt idx="10">
                  <c:v>8.5072660828515119</c:v>
                </c:pt>
                <c:pt idx="11">
                  <c:v>9.4545745187003352</c:v>
                </c:pt>
                <c:pt idx="12">
                  <c:v>2.5108203726522844</c:v>
                </c:pt>
                <c:pt idx="13">
                  <c:v>-1.7013550656903713</c:v>
                </c:pt>
                <c:pt idx="14">
                  <c:v>0.55697059808570182</c:v>
                </c:pt>
                <c:pt idx="15">
                  <c:v>-3.3498656701323855</c:v>
                </c:pt>
                <c:pt idx="16">
                  <c:v>2.6089363385866644</c:v>
                </c:pt>
                <c:pt idx="17">
                  <c:v>3.2016970090780354</c:v>
                </c:pt>
                <c:pt idx="18">
                  <c:v>-2.9728025325406771</c:v>
                </c:pt>
                <c:pt idx="19">
                  <c:v>-7.4138972711153235</c:v>
                </c:pt>
                <c:pt idx="20">
                  <c:v>-5.4471055060687483</c:v>
                </c:pt>
                <c:pt idx="21">
                  <c:v>-3.6785596856009399</c:v>
                </c:pt>
                <c:pt idx="22">
                  <c:v>-1.6214644006767747</c:v>
                </c:pt>
                <c:pt idx="23">
                  <c:v>1.4685514425801469</c:v>
                </c:pt>
                <c:pt idx="24">
                  <c:v>3.041716719689449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E-4B52-9637-4957B13E49D6}"/>
            </c:ext>
          </c:extLst>
        </c:ser>
        <c:ser>
          <c:idx val="1"/>
          <c:order val="1"/>
          <c:tx>
            <c:strRef>
              <c:f>Iran!$G$1</c:f>
              <c:strCache>
                <c:ptCount val="1"/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Iran!$G$2:$G$26</c:f>
              <c:numCache>
                <c:formatCode>0;[Red]0</c:formatCode>
                <c:ptCount val="2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2E-4B52-9637-4957B13E4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878515"/>
        <c:axId val="63598086"/>
      </c:lineChart>
      <c:catAx>
        <c:axId val="14878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3598086"/>
        <c:crosses val="autoZero"/>
        <c:auto val="1"/>
        <c:lblAlgn val="ctr"/>
        <c:lblOffset val="100"/>
        <c:noMultiLvlLbl val="0"/>
      </c:catAx>
      <c:valAx>
        <c:axId val="635980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48785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IRAN: CPI Inflation vs GDP Deflator Inflation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Iran!$O$1</c:f>
              <c:strCache>
                <c:ptCount val="1"/>
                <c:pt idx="0">
                  <c:v>CPI Inflation Rate (%)</c:v>
                </c:pt>
              </c:strCache>
            </c:strRef>
          </c:tx>
          <c:spPr>
            <a:ln w="25560">
              <a:solidFill>
                <a:srgbClr val="4472C4"/>
              </a:solidFill>
              <a:prstDash val="dash"/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Iran!$O$2:$O$26</c:f>
              <c:numCache>
                <c:formatCode>0.00;[Red]0.00</c:formatCode>
                <c:ptCount val="25"/>
                <c:pt idx="1">
                  <c:v>11.541501976284597</c:v>
                </c:pt>
                <c:pt idx="2">
                  <c:v>13.217576187101338</c:v>
                </c:pt>
                <c:pt idx="3">
                  <c:v>13.896713615023474</c:v>
                </c:pt>
                <c:pt idx="4">
                  <c:v>14.619400934322629</c:v>
                </c:pt>
                <c:pt idx="5">
                  <c:v>12.10740829537281</c:v>
                </c:pt>
                <c:pt idx="6">
                  <c:v>13.686911890504696</c:v>
                </c:pt>
                <c:pt idx="7">
                  <c:v>17.231000752445453</c:v>
                </c:pt>
                <c:pt idx="8">
                  <c:v>25.545571245186128</c:v>
                </c:pt>
                <c:pt idx="9">
                  <c:v>9.4708588957055166</c:v>
                </c:pt>
                <c:pt idx="10">
                  <c:v>13.928779918272033</c:v>
                </c:pt>
                <c:pt idx="11">
                  <c:v>26.357860217257645</c:v>
                </c:pt>
                <c:pt idx="12">
                  <c:v>28.556366585563669</c:v>
                </c:pt>
                <c:pt idx="13">
                  <c:v>32.07368620276322</c:v>
                </c:pt>
                <c:pt idx="14">
                  <c:v>14.826844996417496</c:v>
                </c:pt>
                <c:pt idx="15">
                  <c:v>11.285827197470766</c:v>
                </c:pt>
                <c:pt idx="16">
                  <c:v>6.7508971291866064</c:v>
                </c:pt>
                <c:pt idx="17">
                  <c:v>8.1308214860984638</c:v>
                </c:pt>
                <c:pt idx="18">
                  <c:v>26.632124352331608</c:v>
                </c:pt>
                <c:pt idx="19">
                  <c:v>34.375</c:v>
                </c:pt>
                <c:pt idx="20">
                  <c:v>36.200662276862175</c:v>
                </c:pt>
                <c:pt idx="21">
                  <c:v>39.727252403308746</c:v>
                </c:pt>
                <c:pt idx="22">
                  <c:v>44.957999999999998</c:v>
                </c:pt>
                <c:pt idx="23">
                  <c:v>40.702824266339221</c:v>
                </c:pt>
                <c:pt idx="24">
                  <c:v>32.788782114140034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FF-427B-A5BF-C87C73560A0A}"/>
            </c:ext>
          </c:extLst>
        </c:ser>
        <c:ser>
          <c:idx val="1"/>
          <c:order val="1"/>
          <c:tx>
            <c:strRef>
              <c:f>Iran!$P$1</c:f>
              <c:strCache>
                <c:ptCount val="1"/>
                <c:pt idx="0">
                  <c:v>GDP Deflator Inflation Rate (%)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Iran!$P$2:$P$26</c:f>
              <c:numCache>
                <c:formatCode>0.00;[Red]0.00</c:formatCode>
                <c:ptCount val="25"/>
                <c:pt idx="1">
                  <c:v>14.805418794624167</c:v>
                </c:pt>
                <c:pt idx="2">
                  <c:v>28.279693798722139</c:v>
                </c:pt>
                <c:pt idx="3">
                  <c:v>13.136394415006638</c:v>
                </c:pt>
                <c:pt idx="4">
                  <c:v>20.543776141976007</c:v>
                </c:pt>
                <c:pt idx="5">
                  <c:v>19.510923396593043</c:v>
                </c:pt>
                <c:pt idx="6">
                  <c:v>13.869784547311967</c:v>
                </c:pt>
                <c:pt idx="7">
                  <c:v>21.013658096057174</c:v>
                </c:pt>
                <c:pt idx="8">
                  <c:v>18.469287161791339</c:v>
                </c:pt>
                <c:pt idx="9">
                  <c:v>2.7154147681688121</c:v>
                </c:pt>
                <c:pt idx="10">
                  <c:v>14.359292970856533</c:v>
                </c:pt>
                <c:pt idx="11">
                  <c:v>38.566581280192707</c:v>
                </c:pt>
                <c:pt idx="12">
                  <c:v>18.953884053659319</c:v>
                </c:pt>
                <c:pt idx="13">
                  <c:v>36.775631969813375</c:v>
                </c:pt>
                <c:pt idx="14">
                  <c:v>9.7587687365409064</c:v>
                </c:pt>
                <c:pt idx="15">
                  <c:v>0.19700166690110546</c:v>
                </c:pt>
                <c:pt idx="16">
                  <c:v>14.065020538045827</c:v>
                </c:pt>
                <c:pt idx="17">
                  <c:v>12.787573686258815</c:v>
                </c:pt>
                <c:pt idx="18">
                  <c:v>32.91140322356506</c:v>
                </c:pt>
                <c:pt idx="19">
                  <c:v>30.933855466637262</c:v>
                </c:pt>
                <c:pt idx="20">
                  <c:v>46.576790354072024</c:v>
                </c:pt>
                <c:pt idx="21">
                  <c:v>55.862992302125335</c:v>
                </c:pt>
                <c:pt idx="22">
                  <c:v>51.077655513906571</c:v>
                </c:pt>
                <c:pt idx="23">
                  <c:v>37.293742064470742</c:v>
                </c:pt>
                <c:pt idx="24">
                  <c:v>28.370610512979468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FF-427B-A5BF-C87C7356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038096"/>
        <c:axId val="17872523"/>
      </c:lineChart>
      <c:catAx>
        <c:axId val="18038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7872523"/>
        <c:crosses val="autoZero"/>
        <c:auto val="1"/>
        <c:lblAlgn val="ctr"/>
        <c:lblOffset val="100"/>
        <c:noMultiLvlLbl val="0"/>
      </c:catAx>
      <c:valAx>
        <c:axId val="178725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8038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IRAN: 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Iran!$B$1</c:f>
              <c:strCache>
                <c:ptCount val="1"/>
                <c:pt idx="0">
                  <c:v>Unemployment rate (%)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Iran!$A$2:$A$26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Iran!$B$2:$B$26</c:f>
              <c:numCache>
                <c:formatCode>0.00;[Red]0.00</c:formatCode>
                <c:ptCount val="25"/>
                <c:pt idx="5">
                  <c:v>11.574999999999999</c:v>
                </c:pt>
                <c:pt idx="6">
                  <c:v>11.35</c:v>
                </c:pt>
                <c:pt idx="7">
                  <c:v>10.6</c:v>
                </c:pt>
                <c:pt idx="8">
                  <c:v>10.475</c:v>
                </c:pt>
                <c:pt idx="9">
                  <c:v>12.025</c:v>
                </c:pt>
                <c:pt idx="10">
                  <c:v>13.525</c:v>
                </c:pt>
                <c:pt idx="11">
                  <c:v>12.324999999999999</c:v>
                </c:pt>
                <c:pt idx="12">
                  <c:v>12.15</c:v>
                </c:pt>
                <c:pt idx="13">
                  <c:v>10.45</c:v>
                </c:pt>
                <c:pt idx="14">
                  <c:v>10.55</c:v>
                </c:pt>
                <c:pt idx="15">
                  <c:v>11.05</c:v>
                </c:pt>
                <c:pt idx="16">
                  <c:v>12.425000000000001</c:v>
                </c:pt>
                <c:pt idx="17">
                  <c:v>12.1</c:v>
                </c:pt>
                <c:pt idx="18">
                  <c:v>12.05</c:v>
                </c:pt>
                <c:pt idx="19">
                  <c:v>10.65</c:v>
                </c:pt>
                <c:pt idx="20">
                  <c:v>9.609</c:v>
                </c:pt>
                <c:pt idx="21">
                  <c:v>9.1790000000000003</c:v>
                </c:pt>
                <c:pt idx="22">
                  <c:v>9</c:v>
                </c:pt>
                <c:pt idx="23">
                  <c:v>8.0749999999999993</c:v>
                </c:pt>
                <c:pt idx="24">
                  <c:v>7.55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3C-4B9C-BC06-AE1673CF9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3025021"/>
        <c:axId val="14715957"/>
      </c:lineChart>
      <c:catAx>
        <c:axId val="93025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4715957"/>
        <c:crosses val="autoZero"/>
        <c:auto val="1"/>
        <c:lblAlgn val="ctr"/>
        <c:lblOffset val="100"/>
        <c:noMultiLvlLbl val="0"/>
      </c:catAx>
      <c:valAx>
        <c:axId val="147159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3025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IRAN: Okun's Law - GDP Growth vs Change in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IRAN Okun scatter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94000"/>
                      <a:lumMod val="102000"/>
                    </a:schemeClr>
                  </a:gs>
                  <a:gs pos="50000">
                    <a:schemeClr val="accent1">
                      <a:shade val="100000"/>
                      <a:lumMod val="100000"/>
                    </a:schemeClr>
                  </a:gs>
                  <a:gs pos="100000">
                    <a:schemeClr val="accent1">
                      <a:shade val="78000"/>
                      <a:lumMod val="99000"/>
                    </a:schemeClr>
                  </a:gs>
                </a:gsLst>
                <a:lin ang="54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Iran!$L$2:$L$26</c:f>
              <c:numCache>
                <c:formatCode>0.00;[Red]0.00</c:formatCode>
                <c:ptCount val="25"/>
                <c:pt idx="1">
                  <c:v>2.3921727120783576</c:v>
                </c:pt>
                <c:pt idx="2">
                  <c:v>8.0788292797523287</c:v>
                </c:pt>
                <c:pt idx="3">
                  <c:v>8.6392983972005428</c:v>
                </c:pt>
                <c:pt idx="4">
                  <c:v>4.336665978510772</c:v>
                </c:pt>
                <c:pt idx="5">
                  <c:v>4.2086903560723448</c:v>
                </c:pt>
                <c:pt idx="6">
                  <c:v>5.7042519175931048</c:v>
                </c:pt>
                <c:pt idx="7">
                  <c:v>9.1161673653034541</c:v>
                </c:pt>
                <c:pt idx="8">
                  <c:v>0.92369579212998809</c:v>
                </c:pt>
                <c:pt idx="9">
                  <c:v>2.3147106193100053</c:v>
                </c:pt>
                <c:pt idx="10">
                  <c:v>6.5773743524642425</c:v>
                </c:pt>
                <c:pt idx="11">
                  <c:v>3.7496904856479421</c:v>
                </c:pt>
                <c:pt idx="12">
                  <c:v>-3.7471713986414099</c:v>
                </c:pt>
                <c:pt idx="13">
                  <c:v>-1.5219792049416137</c:v>
                </c:pt>
                <c:pt idx="14">
                  <c:v>4.9847750670949198</c:v>
                </c:pt>
                <c:pt idx="15">
                  <c:v>-1.424884939374917</c:v>
                </c:pt>
                <c:pt idx="16">
                  <c:v>8.8150866425181924</c:v>
                </c:pt>
                <c:pt idx="17">
                  <c:v>3.026854686940232</c:v>
                </c:pt>
                <c:pt idx="18">
                  <c:v>-3.7479601571133219</c:v>
                </c:pt>
                <c:pt idx="19">
                  <c:v>-2.3614353877057579</c:v>
                </c:pt>
                <c:pt idx="20">
                  <c:v>4.4418086535867216</c:v>
                </c:pt>
                <c:pt idx="21">
                  <c:v>4.1308968503447039</c:v>
                </c:pt>
                <c:pt idx="22">
                  <c:v>4.3528108752134198</c:v>
                </c:pt>
                <c:pt idx="23">
                  <c:v>5.3323511721640928</c:v>
                </c:pt>
                <c:pt idx="24">
                  <c:v>3.6631205683071655</c:v>
                </c:pt>
              </c:numCache>
            </c:numRef>
          </c:xVal>
          <c:yVal>
            <c:numRef>
              <c:f>Iran!$Q$2:$Q$26</c:f>
              <c:numCache>
                <c:formatCode>0.00;[Red]0.00</c:formatCode>
                <c:ptCount val="25"/>
                <c:pt idx="6">
                  <c:v>-0.22499999999999964</c:v>
                </c:pt>
                <c:pt idx="7">
                  <c:v>-0.75</c:v>
                </c:pt>
                <c:pt idx="8">
                  <c:v>-0.125</c:v>
                </c:pt>
                <c:pt idx="9">
                  <c:v>1.5500000000000007</c:v>
                </c:pt>
                <c:pt idx="10">
                  <c:v>1.5</c:v>
                </c:pt>
                <c:pt idx="11">
                  <c:v>-1.2000000000000011</c:v>
                </c:pt>
                <c:pt idx="12">
                  <c:v>-0.17499999999999893</c:v>
                </c:pt>
                <c:pt idx="13">
                  <c:v>-1.7000000000000011</c:v>
                </c:pt>
                <c:pt idx="14">
                  <c:v>0.10000000000000142</c:v>
                </c:pt>
                <c:pt idx="15">
                  <c:v>0.5</c:v>
                </c:pt>
                <c:pt idx="16">
                  <c:v>1.375</c:v>
                </c:pt>
                <c:pt idx="17">
                  <c:v>-0.32500000000000107</c:v>
                </c:pt>
                <c:pt idx="18">
                  <c:v>-4.9999999999998934E-2</c:v>
                </c:pt>
                <c:pt idx="19">
                  <c:v>-1.4000000000000004</c:v>
                </c:pt>
                <c:pt idx="20">
                  <c:v>-1.0410000000000004</c:v>
                </c:pt>
                <c:pt idx="21">
                  <c:v>-0.42999999999999972</c:v>
                </c:pt>
                <c:pt idx="22">
                  <c:v>-0.17900000000000027</c:v>
                </c:pt>
                <c:pt idx="23">
                  <c:v>-0.92500000000000071</c:v>
                </c:pt>
                <c:pt idx="24">
                  <c:v>-0.52499999999999947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81-4F8F-B4B0-736363CA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28630"/>
        <c:axId val="72266318"/>
      </c:scatterChart>
      <c:valAx>
        <c:axId val="811286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GDP Growth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6318"/>
        <c:crosses val="autoZero"/>
        <c:crossBetween val="midCat"/>
      </c:valAx>
      <c:valAx>
        <c:axId val="722663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 Unemployment Rate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;[Red]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2863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GDP Deflator Index (2000=100)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Comaprison!$B$2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Comaprison!$B$3:$B$27</c:f>
              <c:numCache>
                <c:formatCode>0.00;[Red]0.00</c:formatCode>
                <c:ptCount val="25"/>
                <c:pt idx="0">
                  <c:v>100</c:v>
                </c:pt>
                <c:pt idx="1">
                  <c:v>102.25168992057596</c:v>
                </c:pt>
                <c:pt idx="2">
                  <c:v>103.84067571700287</c:v>
                </c:pt>
                <c:pt idx="3">
                  <c:v>105.89081033029311</c:v>
                </c:pt>
                <c:pt idx="4">
                  <c:v>108.73831429054415</c:v>
                </c:pt>
                <c:pt idx="5">
                  <c:v>112.14774770908895</c:v>
                </c:pt>
                <c:pt idx="6">
                  <c:v>115.6062083809496</c:v>
                </c:pt>
                <c:pt idx="7">
                  <c:v>118.73826410454593</c:v>
                </c:pt>
                <c:pt idx="8">
                  <c:v>121.02602133713773</c:v>
                </c:pt>
                <c:pt idx="9">
                  <c:v>121.77247904624089</c:v>
                </c:pt>
                <c:pt idx="10">
                  <c:v>123.25236396589804</c:v>
                </c:pt>
                <c:pt idx="11">
                  <c:v>125.79519527975143</c:v>
                </c:pt>
                <c:pt idx="12">
                  <c:v>128.13771680357036</c:v>
                </c:pt>
                <c:pt idx="13">
                  <c:v>130.31846744216639</c:v>
                </c:pt>
                <c:pt idx="14">
                  <c:v>132.58811739789277</c:v>
                </c:pt>
                <c:pt idx="15">
                  <c:v>133.81859186623004</c:v>
                </c:pt>
                <c:pt idx="16">
                  <c:v>135.09030002416031</c:v>
                </c:pt>
                <c:pt idx="17">
                  <c:v>137.50950155653837</c:v>
                </c:pt>
                <c:pt idx="18">
                  <c:v>140.65970032302633</c:v>
                </c:pt>
                <c:pt idx="19">
                  <c:v>142.98122640466642</c:v>
                </c:pt>
                <c:pt idx="20">
                  <c:v>144.90395984374507</c:v>
                </c:pt>
                <c:pt idx="21">
                  <c:v>151.51588745126722</c:v>
                </c:pt>
                <c:pt idx="22">
                  <c:v>162.29245255332637</c:v>
                </c:pt>
                <c:pt idx="23">
                  <c:v>168.29762065800907</c:v>
                </c:pt>
                <c:pt idx="24">
                  <c:v>172.47538905012175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8-4972-B39F-2723CEAC559B}"/>
            </c:ext>
          </c:extLst>
        </c:ser>
        <c:ser>
          <c:idx val="1"/>
          <c:order val="1"/>
          <c:tx>
            <c:strRef>
              <c:f>Comaprison!$C$2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Comaprison!$C$3:$C$27</c:f>
              <c:numCache>
                <c:formatCode>0.00</c:formatCode>
                <c:ptCount val="25"/>
                <c:pt idx="0">
                  <c:v>100</c:v>
                </c:pt>
                <c:pt idx="1">
                  <c:v>101.43653547182194</c:v>
                </c:pt>
                <c:pt idx="2">
                  <c:v>102.95461449426023</c:v>
                </c:pt>
                <c:pt idx="3">
                  <c:v>104.32174313013734</c:v>
                </c:pt>
                <c:pt idx="4">
                  <c:v>105.51789827468403</c:v>
                </c:pt>
                <c:pt idx="5">
                  <c:v>106.08247789600489</c:v>
                </c:pt>
                <c:pt idx="6">
                  <c:v>106.55563392505265</c:v>
                </c:pt>
                <c:pt idx="7">
                  <c:v>108.51440938744368</c:v>
                </c:pt>
                <c:pt idx="8">
                  <c:v>109.5560423958577</c:v>
                </c:pt>
                <c:pt idx="9">
                  <c:v>111.7143535237213</c:v>
                </c:pt>
                <c:pt idx="10">
                  <c:v>112.48817667188811</c:v>
                </c:pt>
                <c:pt idx="11">
                  <c:v>113.87305556700721</c:v>
                </c:pt>
                <c:pt idx="12">
                  <c:v>115.50456936080494</c:v>
                </c:pt>
                <c:pt idx="13">
                  <c:v>117.80228777381171</c:v>
                </c:pt>
                <c:pt idx="14">
                  <c:v>119.99512530038339</c:v>
                </c:pt>
                <c:pt idx="15">
                  <c:v>122.07782256380548</c:v>
                </c:pt>
                <c:pt idx="16">
                  <c:v>123.6099116261443</c:v>
                </c:pt>
                <c:pt idx="17">
                  <c:v>125.42299080738988</c:v>
                </c:pt>
                <c:pt idx="18">
                  <c:v>127.75634657126903</c:v>
                </c:pt>
                <c:pt idx="19">
                  <c:v>130.30624657120811</c:v>
                </c:pt>
                <c:pt idx="20">
                  <c:v>132.73047594159203</c:v>
                </c:pt>
                <c:pt idx="21">
                  <c:v>136.31283533109567</c:v>
                </c:pt>
                <c:pt idx="22">
                  <c:v>144.54264134212178</c:v>
                </c:pt>
                <c:pt idx="23">
                  <c:v>154.92671536539743</c:v>
                </c:pt>
                <c:pt idx="24">
                  <c:v>159.71768924583878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8-4972-B39F-2723CEAC559B}"/>
            </c:ext>
          </c:extLst>
        </c:ser>
        <c:ser>
          <c:idx val="2"/>
          <c:order val="2"/>
          <c:tx>
            <c:strRef>
              <c:f>Comaprison!$D$2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Comaprison!$D$3:$D$27</c:f>
              <c:numCache>
                <c:formatCode>0.00;[Red]0.00</c:formatCode>
                <c:ptCount val="25"/>
                <c:pt idx="0">
                  <c:v>100</c:v>
                </c:pt>
                <c:pt idx="1">
                  <c:v>102.22397754690343</c:v>
                </c:pt>
                <c:pt idx="2">
                  <c:v>102.92176574838776</c:v>
                </c:pt>
                <c:pt idx="3">
                  <c:v>105.6592003144242</c:v>
                </c:pt>
                <c:pt idx="4">
                  <c:v>113.07716010654603</c:v>
                </c:pt>
                <c:pt idx="5">
                  <c:v>117.27223510434146</c:v>
                </c:pt>
                <c:pt idx="6">
                  <c:v>121.95847659372039</c:v>
                </c:pt>
                <c:pt idx="7">
                  <c:v>131.5522749549184</c:v>
                </c:pt>
                <c:pt idx="8">
                  <c:v>141.84935245788878</c:v>
                </c:pt>
                <c:pt idx="9">
                  <c:v>141.73653680865425</c:v>
                </c:pt>
                <c:pt idx="10">
                  <c:v>151.55158369627878</c:v>
                </c:pt>
                <c:pt idx="11">
                  <c:v>163.64221901790202</c:v>
                </c:pt>
                <c:pt idx="12">
                  <c:v>167.51011489998419</c:v>
                </c:pt>
                <c:pt idx="13">
                  <c:v>171.32563565522722</c:v>
                </c:pt>
                <c:pt idx="14">
                  <c:v>173.13357164227287</c:v>
                </c:pt>
                <c:pt idx="15">
                  <c:v>173.33683431355581</c:v>
                </c:pt>
                <c:pt idx="16">
                  <c:v>175.85750157426091</c:v>
                </c:pt>
                <c:pt idx="17">
                  <c:v>183.13365391368117</c:v>
                </c:pt>
                <c:pt idx="18">
                  <c:v>189.40775090515174</c:v>
                </c:pt>
                <c:pt idx="19">
                  <c:v>191.84245347745986</c:v>
                </c:pt>
                <c:pt idx="20">
                  <c:v>192.93496591445836</c:v>
                </c:pt>
                <c:pt idx="21">
                  <c:v>201.51110482561199</c:v>
                </c:pt>
                <c:pt idx="22">
                  <c:v>205.47698064261982</c:v>
                </c:pt>
                <c:pt idx="23">
                  <c:v>204.46669722616596</c:v>
                </c:pt>
                <c:pt idx="24">
                  <c:v>202.82384607256745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8-4972-B39F-2723CEAC559B}"/>
            </c:ext>
          </c:extLst>
        </c:ser>
        <c:ser>
          <c:idx val="3"/>
          <c:order val="3"/>
          <c:tx>
            <c:strRef>
              <c:f>Comaprison!$E$2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Comaprison!$E$3:$E$27</c:f>
              <c:numCache>
                <c:formatCode>0.00;[Red]0.00</c:formatCode>
                <c:ptCount val="25"/>
                <c:pt idx="0">
                  <c:v>100</c:v>
                </c:pt>
                <c:pt idx="1">
                  <c:v>103.06392225192185</c:v>
                </c:pt>
                <c:pt idx="2">
                  <c:v>106.47113220951121</c:v>
                </c:pt>
                <c:pt idx="3">
                  <c:v>109.84366179431981</c:v>
                </c:pt>
                <c:pt idx="4">
                  <c:v>112.73712392788246</c:v>
                </c:pt>
                <c:pt idx="5">
                  <c:v>115.08340543421669</c:v>
                </c:pt>
                <c:pt idx="6">
                  <c:v>117.6268419443643</c:v>
                </c:pt>
                <c:pt idx="7">
                  <c:v>120.52878480251997</c:v>
                </c:pt>
                <c:pt idx="8">
                  <c:v>123.42686363321931</c:v>
                </c:pt>
                <c:pt idx="9">
                  <c:v>125.61562394539352</c:v>
                </c:pt>
                <c:pt idx="10">
                  <c:v>126.36826779744872</c:v>
                </c:pt>
                <c:pt idx="11">
                  <c:v>128.55102388896492</c:v>
                </c:pt>
                <c:pt idx="12">
                  <c:v>130.73898105527761</c:v>
                </c:pt>
                <c:pt idx="13">
                  <c:v>132.21067735743489</c:v>
                </c:pt>
                <c:pt idx="14">
                  <c:v>133.40467663365712</c:v>
                </c:pt>
                <c:pt idx="15">
                  <c:v>134.44912538160818</c:v>
                </c:pt>
                <c:pt idx="16">
                  <c:v>136.12895501848229</c:v>
                </c:pt>
                <c:pt idx="17">
                  <c:v>137.09085245072617</c:v>
                </c:pt>
                <c:pt idx="18">
                  <c:v>138.55887710267811</c:v>
                </c:pt>
                <c:pt idx="19">
                  <c:v>140.0092483423187</c:v>
                </c:pt>
                <c:pt idx="20">
                  <c:v>142.21568069768645</c:v>
                </c:pt>
                <c:pt idx="21">
                  <c:v>144.04248955764689</c:v>
                </c:pt>
                <c:pt idx="22">
                  <c:v>149.01630656622007</c:v>
                </c:pt>
                <c:pt idx="23">
                  <c:v>158.344819198154</c:v>
                </c:pt>
                <c:pt idx="24">
                  <c:v>161.46571477694351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E8-4972-B39F-2723CEAC559B}"/>
            </c:ext>
          </c:extLst>
        </c:ser>
        <c:ser>
          <c:idx val="4"/>
          <c:order val="4"/>
          <c:tx>
            <c:strRef>
              <c:f>Comaprison!$F$2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Comaprison!$F$3:$F$27</c:f>
              <c:numCache>
                <c:formatCode>0.00;[Red]0.00</c:formatCode>
                <c:ptCount val="25"/>
                <c:pt idx="0">
                  <c:v>100</c:v>
                </c:pt>
                <c:pt idx="1">
                  <c:v>101.90569059188279</c:v>
                </c:pt>
                <c:pt idx="2">
                  <c:v>104.00933590763918</c:v>
                </c:pt>
                <c:pt idx="3">
                  <c:v>105.88093751325172</c:v>
                </c:pt>
                <c:pt idx="4">
                  <c:v>107.60657101753172</c:v>
                </c:pt>
                <c:pt idx="5">
                  <c:v>109.72603363551714</c:v>
                </c:pt>
                <c:pt idx="6">
                  <c:v>111.90815356396106</c:v>
                </c:pt>
                <c:pt idx="7">
                  <c:v>114.57756367398144</c:v>
                </c:pt>
                <c:pt idx="8">
                  <c:v>117.21221827762491</c:v>
                </c:pt>
                <c:pt idx="9">
                  <c:v>117.34392005855467</c:v>
                </c:pt>
                <c:pt idx="10">
                  <c:v>118.61899597242514</c:v>
                </c:pt>
                <c:pt idx="11">
                  <c:v>119.63419716072725</c:v>
                </c:pt>
                <c:pt idx="12">
                  <c:v>120.9253376936777</c:v>
                </c:pt>
                <c:pt idx="13">
                  <c:v>121.83011882328422</c:v>
                </c:pt>
                <c:pt idx="14">
                  <c:v>122.52114770343532</c:v>
                </c:pt>
                <c:pt idx="15">
                  <c:v>123.91362287107681</c:v>
                </c:pt>
                <c:pt idx="16">
                  <c:v>124.56135141688914</c:v>
                </c:pt>
                <c:pt idx="17">
                  <c:v>125.28433981682163</c:v>
                </c:pt>
                <c:pt idx="18">
                  <c:v>126.68121167475857</c:v>
                </c:pt>
                <c:pt idx="19">
                  <c:v>128.21440298149162</c:v>
                </c:pt>
                <c:pt idx="20">
                  <c:v>132.03721479283678</c:v>
                </c:pt>
                <c:pt idx="21">
                  <c:v>133.6416266301903</c:v>
                </c:pt>
                <c:pt idx="22">
                  <c:v>137.67384483853454</c:v>
                </c:pt>
                <c:pt idx="23">
                  <c:v>144.65116242469779</c:v>
                </c:pt>
                <c:pt idx="24">
                  <c:v>147.60208619935764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E8-4972-B39F-2723CEAC559B}"/>
            </c:ext>
          </c:extLst>
        </c:ser>
        <c:ser>
          <c:idx val="5"/>
          <c:order val="5"/>
          <c:tx>
            <c:strRef>
              <c:f>Comaprison!$G$2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Comaprison!$G$3:$G$27</c:f>
              <c:numCache>
                <c:formatCode>0.00;[Red]0.00</c:formatCode>
                <c:ptCount val="25"/>
                <c:pt idx="0">
                  <c:v>100</c:v>
                </c:pt>
                <c:pt idx="1">
                  <c:v>98.9914276460851</c:v>
                </c:pt>
                <c:pt idx="2">
                  <c:v>97.610904683708583</c:v>
                </c:pt>
                <c:pt idx="3">
                  <c:v>95.87211664709568</c:v>
                </c:pt>
                <c:pt idx="4">
                  <c:v>94.644660023652534</c:v>
                </c:pt>
                <c:pt idx="5">
                  <c:v>93.430996565712988</c:v>
                </c:pt>
                <c:pt idx="6">
                  <c:v>92.55974097556728</c:v>
                </c:pt>
                <c:pt idx="7">
                  <c:v>91.676907289882877</c:v>
                </c:pt>
                <c:pt idx="8">
                  <c:v>90.849907083559444</c:v>
                </c:pt>
                <c:pt idx="9">
                  <c:v>90.437224416471238</c:v>
                </c:pt>
                <c:pt idx="10">
                  <c:v>88.726783040441333</c:v>
                </c:pt>
                <c:pt idx="11">
                  <c:v>87.340847572706437</c:v>
                </c:pt>
                <c:pt idx="12">
                  <c:v>86.623336564558045</c:v>
                </c:pt>
                <c:pt idx="13">
                  <c:v>86.467055118169071</c:v>
                </c:pt>
                <c:pt idx="14">
                  <c:v>87.976185031819597</c:v>
                </c:pt>
                <c:pt idx="15">
                  <c:v>89.783603933526194</c:v>
                </c:pt>
                <c:pt idx="16">
                  <c:v>90.298078602179359</c:v>
                </c:pt>
                <c:pt idx="17">
                  <c:v>90.337000837987787</c:v>
                </c:pt>
                <c:pt idx="18">
                  <c:v>90.231624275197859</c:v>
                </c:pt>
                <c:pt idx="19">
                  <c:v>90.935886640963602</c:v>
                </c:pt>
                <c:pt idx="20">
                  <c:v>92.056690954110223</c:v>
                </c:pt>
                <c:pt idx="21">
                  <c:v>92.001235479620988</c:v>
                </c:pt>
                <c:pt idx="22">
                  <c:v>92.612500309747787</c:v>
                </c:pt>
                <c:pt idx="23">
                  <c:v>96.83869792484154</c:v>
                </c:pt>
                <c:pt idx="24">
                  <c:v>99.926041494162973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E8-4972-B39F-2723CEAC559B}"/>
            </c:ext>
          </c:extLst>
        </c:ser>
        <c:ser>
          <c:idx val="6"/>
          <c:order val="6"/>
          <c:tx>
            <c:strRef>
              <c:f>Comaprison!$H$2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Comaprison!$H$3:$H$27</c:f>
              <c:numCache>
                <c:formatCode>0.00;[Red]0.00</c:formatCode>
                <c:ptCount val="25"/>
                <c:pt idx="0">
                  <c:v>100</c:v>
                </c:pt>
                <c:pt idx="1">
                  <c:v>101.7122003653575</c:v>
                </c:pt>
                <c:pt idx="2">
                  <c:v>103.83656304156426</c:v>
                </c:pt>
                <c:pt idx="3">
                  <c:v>106.3127947437156</c:v>
                </c:pt>
                <c:pt idx="4">
                  <c:v>109.21570779660914</c:v>
                </c:pt>
                <c:pt idx="5">
                  <c:v>112.34364047018749</c:v>
                </c:pt>
                <c:pt idx="6">
                  <c:v>115.79879829157373</c:v>
                </c:pt>
                <c:pt idx="7">
                  <c:v>118.10714477778323</c:v>
                </c:pt>
                <c:pt idx="8">
                  <c:v>122.01023806414683</c:v>
                </c:pt>
                <c:pt idx="9">
                  <c:v>124.45953332734823</c:v>
                </c:pt>
                <c:pt idx="10">
                  <c:v>126.11281812288846</c:v>
                </c:pt>
                <c:pt idx="11">
                  <c:v>129.23531877075061</c:v>
                </c:pt>
                <c:pt idx="12">
                  <c:v>131.23558251257455</c:v>
                </c:pt>
                <c:pt idx="13">
                  <c:v>134.06644922687943</c:v>
                </c:pt>
                <c:pt idx="14">
                  <c:v>136.20617073636353</c:v>
                </c:pt>
                <c:pt idx="15">
                  <c:v>137.11762428333719</c:v>
                </c:pt>
                <c:pt idx="16">
                  <c:v>139.49715466818333</c:v>
                </c:pt>
                <c:pt idx="17">
                  <c:v>141.64893710719721</c:v>
                </c:pt>
                <c:pt idx="18">
                  <c:v>144.42917444031943</c:v>
                </c:pt>
                <c:pt idx="19">
                  <c:v>147.98405372364462</c:v>
                </c:pt>
                <c:pt idx="20">
                  <c:v>155.14994602983725</c:v>
                </c:pt>
                <c:pt idx="21">
                  <c:v>156.25423591031179</c:v>
                </c:pt>
                <c:pt idx="22">
                  <c:v>165.12735461827259</c:v>
                </c:pt>
                <c:pt idx="23">
                  <c:v>175.60454361539485</c:v>
                </c:pt>
                <c:pt idx="24">
                  <c:v>182.51296800031119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E8-4972-B39F-2723CEAC559B}"/>
            </c:ext>
          </c:extLst>
        </c:ser>
        <c:ser>
          <c:idx val="7"/>
          <c:order val="7"/>
          <c:tx>
            <c:strRef>
              <c:f>Comaprison!$I$2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Comaprison!$I$3:$I$27</c:f>
              <c:numCache>
                <c:formatCode>0.00;[Red]0.00</c:formatCode>
                <c:ptCount val="25"/>
                <c:pt idx="0">
                  <c:v>100</c:v>
                </c:pt>
                <c:pt idx="1">
                  <c:v>114.80541879462416</c:v>
                </c:pt>
                <c:pt idx="2">
                  <c:v>147.27203969408447</c:v>
                </c:pt>
                <c:pt idx="3">
                  <c:v>166.61827569132456</c:v>
                </c:pt>
                <c:pt idx="4">
                  <c:v>200.84796126097069</c:v>
                </c:pt>
                <c:pt idx="5">
                  <c:v>240.03525312621753</c:v>
                </c:pt>
                <c:pt idx="6">
                  <c:v>273.32762557241887</c:v>
                </c:pt>
                <c:pt idx="7">
                  <c:v>330.76375829227828</c:v>
                </c:pt>
                <c:pt idx="8">
                  <c:v>391.85346663841256</c:v>
                </c:pt>
                <c:pt idx="9">
                  <c:v>402.49391354109349</c:v>
                </c:pt>
                <c:pt idx="10">
                  <c:v>460.28919377632508</c:v>
                </c:pt>
                <c:pt idx="11">
                  <c:v>637.80699981801513</c:v>
                </c:pt>
                <c:pt idx="12">
                  <c:v>758.69619904964486</c:v>
                </c:pt>
                <c:pt idx="13">
                  <c:v>1037.711520981105</c:v>
                </c:pt>
                <c:pt idx="14">
                  <c:v>1138.9793884660921</c:v>
                </c:pt>
                <c:pt idx="15">
                  <c:v>1141.2231968470305</c:v>
                </c:pt>
                <c:pt idx="16">
                  <c:v>1301.7364738685083</c:v>
                </c:pt>
                <c:pt idx="17">
                  <c:v>1468.1969846653512</c:v>
                </c:pt>
                <c:pt idx="18">
                  <c:v>1951.4012144047886</c:v>
                </c:pt>
                <c:pt idx="19">
                  <c:v>2555.0448456429704</c:v>
                </c:pt>
                <c:pt idx="20">
                  <c:v>3745.1027268506195</c:v>
                </c:pt>
                <c:pt idx="21">
                  <c:v>5837.2291748578664</c:v>
                </c:pt>
                <c:pt idx="22">
                  <c:v>8818.7489843490202</c:v>
                </c:pt>
                <c:pt idx="23">
                  <c:v>12107.590483885277</c:v>
                </c:pt>
                <c:pt idx="24">
                  <c:v>15542.587822574933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E8-4972-B39F-2723CEAC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801028"/>
        <c:axId val="84901914"/>
      </c:lineChart>
      <c:catAx>
        <c:axId val="478010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4901914"/>
        <c:crosses val="autoZero"/>
        <c:auto val="1"/>
        <c:lblAlgn val="ctr"/>
        <c:lblOffset val="100"/>
        <c:noMultiLvlLbl val="0"/>
      </c:catAx>
      <c:valAx>
        <c:axId val="849019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Index (2000=100)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7801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Real GDP per Capita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Comaprison!$B$31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Comaprison!$B$32:$B$56</c:f>
              <c:numCache>
                <c:formatCode>0.00;[Red]0.00</c:formatCode>
                <c:ptCount val="25"/>
                <c:pt idx="0">
                  <c:v>100</c:v>
                </c:pt>
                <c:pt idx="1">
                  <c:v>99.954920209210684</c:v>
                </c:pt>
                <c:pt idx="2">
                  <c:v>100.69084948767464</c:v>
                </c:pt>
                <c:pt idx="3">
                  <c:v>102.55450538462027</c:v>
                </c:pt>
                <c:pt idx="4">
                  <c:v>105.54327588823038</c:v>
                </c:pt>
                <c:pt idx="5">
                  <c:v>108.21221010841788</c:v>
                </c:pt>
                <c:pt idx="6">
                  <c:v>110.17389940557982</c:v>
                </c:pt>
                <c:pt idx="7">
                  <c:v>111.30958112965111</c:v>
                </c:pt>
                <c:pt idx="8">
                  <c:v>110.3942558557313</c:v>
                </c:pt>
                <c:pt idx="9">
                  <c:v>106.60586412734612</c:v>
                </c:pt>
                <c:pt idx="10">
                  <c:v>108.56076172651487</c:v>
                </c:pt>
                <c:pt idx="11">
                  <c:v>109.39197652663071</c:v>
                </c:pt>
                <c:pt idx="12">
                  <c:v>111.03212379546383</c:v>
                </c:pt>
                <c:pt idx="13">
                  <c:v>112.53473553575427</c:v>
                </c:pt>
                <c:pt idx="14">
                  <c:v>114.47205389206314</c:v>
                </c:pt>
                <c:pt idx="15">
                  <c:v>116.92451395874014</c:v>
                </c:pt>
                <c:pt idx="16">
                  <c:v>118.13647885101719</c:v>
                </c:pt>
                <c:pt idx="17">
                  <c:v>120.20626355009583</c:v>
                </c:pt>
                <c:pt idx="18">
                  <c:v>123.04376116163711</c:v>
                </c:pt>
                <c:pt idx="19">
                  <c:v>125.56690468130721</c:v>
                </c:pt>
                <c:pt idx="20">
                  <c:v>122.46169922471908</c:v>
                </c:pt>
                <c:pt idx="21">
                  <c:v>129.73636361665268</c:v>
                </c:pt>
                <c:pt idx="22">
                  <c:v>132.27641295115109</c:v>
                </c:pt>
                <c:pt idx="23">
                  <c:v>135.05234050097928</c:v>
                </c:pt>
                <c:pt idx="24">
                  <c:v>137.59675875392654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4-4A1C-AAE7-5302F202D9DE}"/>
            </c:ext>
          </c:extLst>
        </c:ser>
        <c:ser>
          <c:idx val="1"/>
          <c:order val="1"/>
          <c:tx>
            <c:strRef>
              <c:f>Comaprison!$C$31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Comaprison!$C$32:$C$56</c:f>
              <c:numCache>
                <c:formatCode>0.00</c:formatCode>
                <c:ptCount val="25"/>
                <c:pt idx="0">
                  <c:v>100</c:v>
                </c:pt>
                <c:pt idx="1">
                  <c:v>101.59132931637077</c:v>
                </c:pt>
                <c:pt idx="2">
                  <c:v>101.23061766260682</c:v>
                </c:pt>
                <c:pt idx="3">
                  <c:v>100.61393072126204</c:v>
                </c:pt>
                <c:pt idx="4">
                  <c:v>101.32832375305327</c:v>
                </c:pt>
                <c:pt idx="5">
                  <c:v>102.45899584078882</c:v>
                </c:pt>
                <c:pt idx="6">
                  <c:v>106.7277138827466</c:v>
                </c:pt>
                <c:pt idx="7">
                  <c:v>110.07940639219873</c:v>
                </c:pt>
                <c:pt idx="8">
                  <c:v>110.9602453082817</c:v>
                </c:pt>
                <c:pt idx="9">
                  <c:v>105.12889174768021</c:v>
                </c:pt>
                <c:pt idx="10">
                  <c:v>109.50142609132598</c:v>
                </c:pt>
                <c:pt idx="11">
                  <c:v>115.83719961307679</c:v>
                </c:pt>
                <c:pt idx="12">
                  <c:v>116.43737541474046</c:v>
                </c:pt>
                <c:pt idx="13">
                  <c:v>116.7847651755532</c:v>
                </c:pt>
                <c:pt idx="14">
                  <c:v>118.89362045233733</c:v>
                </c:pt>
                <c:pt idx="15">
                  <c:v>119.66415835811827</c:v>
                </c:pt>
                <c:pt idx="16">
                  <c:v>121.32435917151001</c:v>
                </c:pt>
                <c:pt idx="17">
                  <c:v>124.7262780899546</c:v>
                </c:pt>
                <c:pt idx="18">
                  <c:v>125.93797473632438</c:v>
                </c:pt>
                <c:pt idx="19">
                  <c:v>127.05712267783771</c:v>
                </c:pt>
                <c:pt idx="20">
                  <c:v>121.36479270951985</c:v>
                </c:pt>
                <c:pt idx="21">
                  <c:v>126.05169262911429</c:v>
                </c:pt>
                <c:pt idx="22">
                  <c:v>128.53869517175718</c:v>
                </c:pt>
                <c:pt idx="23">
                  <c:v>127.32539398719041</c:v>
                </c:pt>
                <c:pt idx="24">
                  <c:v>127.02724903343561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4-4A1C-AAE7-5302F202D9DE}"/>
            </c:ext>
          </c:extLst>
        </c:ser>
        <c:ser>
          <c:idx val="2"/>
          <c:order val="2"/>
          <c:tx>
            <c:strRef>
              <c:f>Comaprison!$D$31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Comaprison!$D$32:$D$56</c:f>
              <c:numCache>
                <c:formatCode>0.00;[Red]0.00</c:formatCode>
                <c:ptCount val="25"/>
                <c:pt idx="0">
                  <c:v>100</c:v>
                </c:pt>
                <c:pt idx="1">
                  <c:v>107.51617997405354</c:v>
                </c:pt>
                <c:pt idx="2">
                  <c:v>116.6236669962512</c:v>
                </c:pt>
                <c:pt idx="3">
                  <c:v>127.60537293342284</c:v>
                </c:pt>
                <c:pt idx="4">
                  <c:v>139.6615516066984</c:v>
                </c:pt>
                <c:pt idx="5">
                  <c:v>154.80947422068891</c:v>
                </c:pt>
                <c:pt idx="6">
                  <c:v>173.49879491757042</c:v>
                </c:pt>
                <c:pt idx="7">
                  <c:v>197.10351472917242</c:v>
                </c:pt>
                <c:pt idx="8">
                  <c:v>215.11749305533471</c:v>
                </c:pt>
                <c:pt idx="9">
                  <c:v>234.17091346765963</c:v>
                </c:pt>
                <c:pt idx="10">
                  <c:v>257.74521401267839</c:v>
                </c:pt>
                <c:pt idx="11">
                  <c:v>280.69294282628994</c:v>
                </c:pt>
                <c:pt idx="12">
                  <c:v>300.8201486573916</c:v>
                </c:pt>
                <c:pt idx="13">
                  <c:v>322.13132889657044</c:v>
                </c:pt>
                <c:pt idx="14">
                  <c:v>344.11527872037431</c:v>
                </c:pt>
                <c:pt idx="15">
                  <c:v>366.06861950046101</c:v>
                </c:pt>
                <c:pt idx="16">
                  <c:v>388.72728552920228</c:v>
                </c:pt>
                <c:pt idx="17">
                  <c:v>413.04197169913454</c:v>
                </c:pt>
                <c:pt idx="18">
                  <c:v>439.07060614715914</c:v>
                </c:pt>
                <c:pt idx="19">
                  <c:v>464.20426651929654</c:v>
                </c:pt>
                <c:pt idx="20">
                  <c:v>473.75189822134843</c:v>
                </c:pt>
                <c:pt idx="21">
                  <c:v>514.03556861426068</c:v>
                </c:pt>
                <c:pt idx="22">
                  <c:v>530.04009930381596</c:v>
                </c:pt>
                <c:pt idx="23">
                  <c:v>559.24242658308378</c:v>
                </c:pt>
                <c:pt idx="24">
                  <c:v>587.92762666851672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4-4A1C-AAE7-5302F202D9DE}"/>
            </c:ext>
          </c:extLst>
        </c:ser>
        <c:ser>
          <c:idx val="3"/>
          <c:order val="3"/>
          <c:tx>
            <c:strRef>
              <c:f>Comaprison!$E$31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Comaprison!$E$32:$E$56</c:f>
              <c:numCache>
                <c:formatCode>0.00;[Red]0.00</c:formatCode>
                <c:ptCount val="25"/>
                <c:pt idx="0">
                  <c:v>100</c:v>
                </c:pt>
                <c:pt idx="1">
                  <c:v>101.79679293434188</c:v>
                </c:pt>
                <c:pt idx="2">
                  <c:v>101.84673093600729</c:v>
                </c:pt>
                <c:pt idx="3">
                  <c:v>101.44555050126473</c:v>
                </c:pt>
                <c:pt idx="4">
                  <c:v>101.95582466216084</c:v>
                </c:pt>
                <c:pt idx="5">
                  <c:v>102.52140534043346</c:v>
                </c:pt>
                <c:pt idx="6">
                  <c:v>104.0482659584315</c:v>
                </c:pt>
                <c:pt idx="7">
                  <c:v>104.74333770544544</c:v>
                </c:pt>
                <c:pt idx="8">
                  <c:v>102.83748852555918</c:v>
                </c:pt>
                <c:pt idx="9">
                  <c:v>96.796985129250771</c:v>
                </c:pt>
                <c:pt idx="10">
                  <c:v>97.796229162023508</c:v>
                </c:pt>
                <c:pt idx="11">
                  <c:v>98.293457044033815</c:v>
                </c:pt>
                <c:pt idx="12">
                  <c:v>94.912630332470613</c:v>
                </c:pt>
                <c:pt idx="13">
                  <c:v>92.992965399226719</c:v>
                </c:pt>
                <c:pt idx="14">
                  <c:v>93.048923753772513</c:v>
                </c:pt>
                <c:pt idx="15">
                  <c:v>93.884506035394111</c:v>
                </c:pt>
                <c:pt idx="16">
                  <c:v>95.337252145607039</c:v>
                </c:pt>
                <c:pt idx="17">
                  <c:v>97.132823005398947</c:v>
                </c:pt>
                <c:pt idx="18">
                  <c:v>97.998959244521743</c:v>
                </c:pt>
                <c:pt idx="19">
                  <c:v>98.653045348310044</c:v>
                </c:pt>
                <c:pt idx="20">
                  <c:v>90.260170701612878</c:v>
                </c:pt>
                <c:pt idx="21">
                  <c:v>98.71362261842944</c:v>
                </c:pt>
                <c:pt idx="22">
                  <c:v>103.83386396260492</c:v>
                </c:pt>
                <c:pt idx="23">
                  <c:v>104.94474989933467</c:v>
                </c:pt>
                <c:pt idx="24">
                  <c:v>105.61651926962699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4-4A1C-AAE7-5302F202D9DE}"/>
            </c:ext>
          </c:extLst>
        </c:ser>
        <c:ser>
          <c:idx val="4"/>
          <c:order val="4"/>
          <c:tx>
            <c:strRef>
              <c:f>Comaprison!$F$31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Comaprison!$F$32:$F$56</c:f>
              <c:numCache>
                <c:formatCode>0.00;[Red]0.00</c:formatCode>
                <c:ptCount val="25"/>
                <c:pt idx="0">
                  <c:v>100</c:v>
                </c:pt>
                <c:pt idx="1">
                  <c:v>101.0973890718594</c:v>
                </c:pt>
                <c:pt idx="2">
                  <c:v>101.49566022499062</c:v>
                </c:pt>
                <c:pt idx="3">
                  <c:v>101.7783913573404</c:v>
                </c:pt>
                <c:pt idx="4">
                  <c:v>103.58028224487541</c:v>
                </c:pt>
                <c:pt idx="5">
                  <c:v>104.84698099366847</c:v>
                </c:pt>
                <c:pt idx="6">
                  <c:v>107.17680072406841</c:v>
                </c:pt>
                <c:pt idx="7">
                  <c:v>109.15652942480085</c:v>
                </c:pt>
                <c:pt idx="8">
                  <c:v>108.83217045931019</c:v>
                </c:pt>
                <c:pt idx="9">
                  <c:v>105.3244557377663</c:v>
                </c:pt>
                <c:pt idx="10">
                  <c:v>106.73104799736022</c:v>
                </c:pt>
                <c:pt idx="11">
                  <c:v>108.85373713294273</c:v>
                </c:pt>
                <c:pt idx="12">
                  <c:v>108.57494931185265</c:v>
                </c:pt>
                <c:pt idx="13">
                  <c:v>109.02035848007792</c:v>
                </c:pt>
                <c:pt idx="14">
                  <c:v>109.58648860903499</c:v>
                </c:pt>
                <c:pt idx="15">
                  <c:v>110.28694084951658</c:v>
                </c:pt>
                <c:pt idx="16">
                  <c:v>110.80761216770551</c:v>
                </c:pt>
                <c:pt idx="17">
                  <c:v>112.99387195102415</c:v>
                </c:pt>
                <c:pt idx="18">
                  <c:v>114.37377293973987</c:v>
                </c:pt>
                <c:pt idx="19">
                  <c:v>116.3900883833127</c:v>
                </c:pt>
                <c:pt idx="20">
                  <c:v>107.18775774763792</c:v>
                </c:pt>
                <c:pt idx="21">
                  <c:v>114.05775465957122</c:v>
                </c:pt>
                <c:pt idx="22">
                  <c:v>116.66375462103515</c:v>
                </c:pt>
                <c:pt idx="23">
                  <c:v>118.45956434445834</c:v>
                </c:pt>
                <c:pt idx="24">
                  <c:v>119.83488450494555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44-4A1C-AAE7-5302F202D9DE}"/>
            </c:ext>
          </c:extLst>
        </c:ser>
        <c:ser>
          <c:idx val="5"/>
          <c:order val="5"/>
          <c:tx>
            <c:strRef>
              <c:f>Comaprison!$G$31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Comaprison!$G$32:$G$56</c:f>
              <c:numCache>
                <c:formatCode>0.00;[Red]0.00</c:formatCode>
                <c:ptCount val="25"/>
                <c:pt idx="0">
                  <c:v>100</c:v>
                </c:pt>
                <c:pt idx="1">
                  <c:v>100.02959586714233</c:v>
                </c:pt>
                <c:pt idx="2">
                  <c:v>99.849486800227197</c:v>
                </c:pt>
                <c:pt idx="3">
                  <c:v>101.04763473693659</c:v>
                </c:pt>
                <c:pt idx="4">
                  <c:v>103.13710124374467</c:v>
                </c:pt>
                <c:pt idx="5">
                  <c:v>105.03016757069041</c:v>
                </c:pt>
                <c:pt idx="6">
                  <c:v>106.5592958388109</c:v>
                </c:pt>
                <c:pt idx="7">
                  <c:v>108.26899541651163</c:v>
                </c:pt>
                <c:pt idx="8">
                  <c:v>106.96216505564971</c:v>
                </c:pt>
                <c:pt idx="9">
                  <c:v>100.6256033894926</c:v>
                </c:pt>
                <c:pt idx="10">
                  <c:v>104.76448399085075</c:v>
                </c:pt>
                <c:pt idx="11">
                  <c:v>104.76397756389295</c:v>
                </c:pt>
                <c:pt idx="12">
                  <c:v>106.6694455545869</c:v>
                </c:pt>
                <c:pt idx="13">
                  <c:v>108.98280198608833</c:v>
                </c:pt>
                <c:pt idx="14">
                  <c:v>110.02137058328465</c:v>
                </c:pt>
                <c:pt idx="15">
                  <c:v>112.1768044791723</c:v>
                </c:pt>
                <c:pt idx="16">
                  <c:v>112.98675671401885</c:v>
                </c:pt>
                <c:pt idx="17">
                  <c:v>114.91672776015065</c:v>
                </c:pt>
                <c:pt idx="18">
                  <c:v>116.04434284114191</c:v>
                </c:pt>
                <c:pt idx="19">
                  <c:v>115.8447593244895</c:v>
                </c:pt>
                <c:pt idx="20">
                  <c:v>111.15478769162443</c:v>
                </c:pt>
                <c:pt idx="21">
                  <c:v>115.74843717494512</c:v>
                </c:pt>
                <c:pt idx="22">
                  <c:v>117.76184111346342</c:v>
                </c:pt>
                <c:pt idx="23">
                  <c:v>119.17978287364059</c:v>
                </c:pt>
                <c:pt idx="24">
                  <c:v>119.50752065325764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44-4A1C-AAE7-5302F202D9DE}"/>
            </c:ext>
          </c:extLst>
        </c:ser>
        <c:ser>
          <c:idx val="6"/>
          <c:order val="6"/>
          <c:tx>
            <c:strRef>
              <c:f>Comaprison!$H$31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Comaprison!$H$32:$H$56</c:f>
              <c:numCache>
                <c:formatCode>0.00;[Red]0.00</c:formatCode>
                <c:ptCount val="25"/>
                <c:pt idx="0">
                  <c:v>100</c:v>
                </c:pt>
                <c:pt idx="1">
                  <c:v>101.99759924759194</c:v>
                </c:pt>
                <c:pt idx="2">
                  <c:v>103.30252128435579</c:v>
                </c:pt>
                <c:pt idx="3">
                  <c:v>106.13198302404088</c:v>
                </c:pt>
                <c:pt idx="4">
                  <c:v>107.98451116867727</c:v>
                </c:pt>
                <c:pt idx="5">
                  <c:v>110.238471759958</c:v>
                </c:pt>
                <c:pt idx="6">
                  <c:v>111.82748243493781</c:v>
                </c:pt>
                <c:pt idx="7">
                  <c:v>114.21224328812207</c:v>
                </c:pt>
                <c:pt idx="8">
                  <c:v>113.26089193542268</c:v>
                </c:pt>
                <c:pt idx="9">
                  <c:v>107.25084113043692</c:v>
                </c:pt>
                <c:pt idx="10">
                  <c:v>108.81892295122351</c:v>
                </c:pt>
                <c:pt idx="11">
                  <c:v>108.89112309817051</c:v>
                </c:pt>
                <c:pt idx="12">
                  <c:v>109.77059492915564</c:v>
                </c:pt>
                <c:pt idx="13">
                  <c:v>110.91361077979587</c:v>
                </c:pt>
                <c:pt idx="14">
                  <c:v>113.56698290894398</c:v>
                </c:pt>
                <c:pt idx="15">
                  <c:v>115.16370935659901</c:v>
                </c:pt>
                <c:pt idx="16">
                  <c:v>116.77367332040691</c:v>
                </c:pt>
                <c:pt idx="17">
                  <c:v>119.65108671072548</c:v>
                </c:pt>
                <c:pt idx="18">
                  <c:v>120.91519647244353</c:v>
                </c:pt>
                <c:pt idx="19">
                  <c:v>121.80763825110638</c:v>
                </c:pt>
                <c:pt idx="20">
                  <c:v>109.38465978105405</c:v>
                </c:pt>
                <c:pt idx="21">
                  <c:v>118.30761948796722</c:v>
                </c:pt>
                <c:pt idx="22">
                  <c:v>123.18987926194738</c:v>
                </c:pt>
                <c:pt idx="23">
                  <c:v>121.92021635475538</c:v>
                </c:pt>
                <c:pt idx="24">
                  <c:v>121.84863860768628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44-4A1C-AAE7-5302F202D9DE}"/>
            </c:ext>
          </c:extLst>
        </c:ser>
        <c:ser>
          <c:idx val="7"/>
          <c:order val="7"/>
          <c:tx>
            <c:strRef>
              <c:f>Comaprison!$I$31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Comaprison!$A$32:$A$56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Comaprison!$I$32:$I$56</c:f>
              <c:numCache>
                <c:formatCode>0.00;[Red]0.00</c:formatCode>
                <c:ptCount val="25"/>
                <c:pt idx="0">
                  <c:v>100</c:v>
                </c:pt>
                <c:pt idx="1">
                  <c:v>100.69562011216797</c:v>
                </c:pt>
                <c:pt idx="2">
                  <c:v>107.19062908202517</c:v>
                </c:pt>
                <c:pt idx="3">
                  <c:v>114.69629475650476</c:v>
                </c:pt>
                <c:pt idx="4">
                  <c:v>117.86692711052299</c:v>
                </c:pt>
                <c:pt idx="5">
                  <c:v>120.97663743513513</c:v>
                </c:pt>
                <c:pt idx="6">
                  <c:v>125.87232549352245</c:v>
                </c:pt>
                <c:pt idx="7">
                  <c:v>135.67192460614575</c:v>
                </c:pt>
                <c:pt idx="8">
                  <c:v>135.21980478792096</c:v>
                </c:pt>
                <c:pt idx="9">
                  <c:v>136.59155636305252</c:v>
                </c:pt>
                <c:pt idx="10">
                  <c:v>143.68928189556942</c:v>
                </c:pt>
                <c:pt idx="11">
                  <c:v>147.10873878938355</c:v>
                </c:pt>
                <c:pt idx="12">
                  <c:v>139.87402885692356</c:v>
                </c:pt>
                <c:pt idx="13">
                  <c:v>136.06217156450592</c:v>
                </c:pt>
                <c:pt idx="14">
                  <c:v>141.09679364118503</c:v>
                </c:pt>
                <c:pt idx="15">
                  <c:v>137.37725983195349</c:v>
                </c:pt>
                <c:pt idx="16">
                  <c:v>147.73361956118219</c:v>
                </c:pt>
                <c:pt idx="17">
                  <c:v>149.99695102999232</c:v>
                </c:pt>
                <c:pt idx="18">
                  <c:v>142.77393197063773</c:v>
                </c:pt>
                <c:pt idx="19">
                  <c:v>138.1417116320811</c:v>
                </c:pt>
                <c:pt idx="20">
                  <c:v>143.0685986340489</c:v>
                </c:pt>
                <c:pt idx="21">
                  <c:v>147.83364805896539</c:v>
                </c:pt>
                <c:pt idx="22">
                  <c:v>153.09379472705967</c:v>
                </c:pt>
                <c:pt idx="23">
                  <c:v>160.06859049272774</c:v>
                </c:pt>
                <c:pt idx="24">
                  <c:v>164.71213475528032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44-4A1C-AAE7-5302F202D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765517"/>
        <c:axId val="18220130"/>
      </c:lineChart>
      <c:catAx>
        <c:axId val="73765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8220130"/>
        <c:crosses val="autoZero"/>
        <c:auto val="1"/>
        <c:lblAlgn val="ctr"/>
        <c:lblOffset val="100"/>
        <c:noMultiLvlLbl val="0"/>
      </c:catAx>
      <c:valAx>
        <c:axId val="182201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Index (2000=100)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7655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Real GDP Growth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Comaprison!$B$60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Comaprison!$B$61:$B$85</c:f>
              <c:numCache>
                <c:formatCode>0.00;[Red]0.00</c:formatCode>
                <c:ptCount val="25"/>
                <c:pt idx="0">
                  <c:v>0</c:v>
                </c:pt>
                <c:pt idx="1">
                  <c:v>0.95553834188669351</c:v>
                </c:pt>
                <c:pt idx="2">
                  <c:v>1.7004473278453887</c:v>
                </c:pt>
                <c:pt idx="3">
                  <c:v>2.7956128747673592</c:v>
                </c:pt>
                <c:pt idx="4">
                  <c:v>3.8477647139641378</c:v>
                </c:pt>
                <c:pt idx="5">
                  <c:v>3.4835564080393038</c:v>
                </c:pt>
                <c:pt idx="6">
                  <c:v>2.7845332093066575</c:v>
                </c:pt>
                <c:pt idx="7">
                  <c:v>2.0038643843528874</c:v>
                </c:pt>
                <c:pt idx="8">
                  <c:v>0.11358127566824477</c:v>
                </c:pt>
                <c:pt idx="9">
                  <c:v>-2.5764942733017953</c:v>
                </c:pt>
                <c:pt idx="10">
                  <c:v>2.6951924174959689</c:v>
                </c:pt>
                <c:pt idx="11">
                  <c:v>1.5644067621967701</c:v>
                </c:pt>
                <c:pt idx="12">
                  <c:v>2.2891073878057369</c:v>
                </c:pt>
                <c:pt idx="13">
                  <c:v>2.1178300978646964</c:v>
                </c:pt>
                <c:pt idx="14">
                  <c:v>2.523819813726194</c:v>
                </c:pt>
                <c:pt idx="15">
                  <c:v>2.9455504559977195</c:v>
                </c:pt>
                <c:pt idx="16">
                  <c:v>1.8194514762052094</c:v>
                </c:pt>
                <c:pt idx="17">
                  <c:v>2.4576275259548934</c:v>
                </c:pt>
                <c:pt idx="18">
                  <c:v>2.9664947201225758</c:v>
                </c:pt>
                <c:pt idx="19">
                  <c:v>2.5838353621230485</c:v>
                </c:pt>
                <c:pt idx="20">
                  <c:v>-2.0813807053905791</c:v>
                </c:pt>
                <c:pt idx="21">
                  <c:v>6.152022480218883</c:v>
                </c:pt>
                <c:pt idx="22">
                  <c:v>2.5242138512429255</c:v>
                </c:pt>
                <c:pt idx="23">
                  <c:v>2.9343632211932555</c:v>
                </c:pt>
                <c:pt idx="24">
                  <c:v>2.7931871539161364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1-413A-9C59-DCB130B72FC6}"/>
            </c:ext>
          </c:extLst>
        </c:ser>
        <c:ser>
          <c:idx val="1"/>
          <c:order val="1"/>
          <c:tx>
            <c:strRef>
              <c:f>Comaprison!$C$60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Comaprison!$C$61:$C$85</c:f>
              <c:numCache>
                <c:formatCode>0.00</c:formatCode>
                <c:ptCount val="25"/>
                <c:pt idx="0" formatCode="0.00;[Red]0.00">
                  <c:v>0</c:v>
                </c:pt>
                <c:pt idx="1">
                  <c:v>1.7623755284166973</c:v>
                </c:pt>
                <c:pt idx="2">
                  <c:v>-0.18738918337439642</c:v>
                </c:pt>
                <c:pt idx="3">
                  <c:v>-0.55414886915674377</c:v>
                </c:pt>
                <c:pt idx="4">
                  <c:v>0.68817241449563638</c:v>
                </c:pt>
                <c:pt idx="5">
                  <c:v>1.0584544608760611</c:v>
                </c:pt>
                <c:pt idx="6">
                  <c:v>4.048838941028273</c:v>
                </c:pt>
                <c:pt idx="7">
                  <c:v>3.0025886929144261</c:v>
                </c:pt>
                <c:pt idx="8">
                  <c:v>0.60870277971957465</c:v>
                </c:pt>
                <c:pt idx="9">
                  <c:v>-5.4951172099375585</c:v>
                </c:pt>
                <c:pt idx="10">
                  <c:v>3.999764691356082</c:v>
                </c:pt>
                <c:pt idx="11">
                  <c:v>3.8431118865977361</c:v>
                </c:pt>
                <c:pt idx="12">
                  <c:v>0.70699777745235703</c:v>
                </c:pt>
                <c:pt idx="13">
                  <c:v>0.57243724679264552</c:v>
                </c:pt>
                <c:pt idx="14">
                  <c:v>2.2310533414296359</c:v>
                </c:pt>
                <c:pt idx="15">
                  <c:v>1.5231857781675853</c:v>
                </c:pt>
                <c:pt idx="16">
                  <c:v>2.2091133923071529</c:v>
                </c:pt>
                <c:pt idx="17">
                  <c:v>3.1889092933017387</c:v>
                </c:pt>
                <c:pt idx="18">
                  <c:v>1.2753873485899518</c:v>
                </c:pt>
                <c:pt idx="19">
                  <c:v>1.1164308080934406</c:v>
                </c:pt>
                <c:pt idx="20">
                  <c:v>-4.4020694068193107</c:v>
                </c:pt>
                <c:pt idx="21">
                  <c:v>3.9057992676894102</c:v>
                </c:pt>
                <c:pt idx="22">
                  <c:v>1.9506147840456129</c:v>
                </c:pt>
                <c:pt idx="23">
                  <c:v>-0.81356359586968918</c:v>
                </c:pt>
                <c:pt idx="24">
                  <c:v>4.0531606401049004E-2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1-413A-9C59-DCB130B72FC6}"/>
            </c:ext>
          </c:extLst>
        </c:ser>
        <c:ser>
          <c:idx val="2"/>
          <c:order val="2"/>
          <c:tx>
            <c:strRef>
              <c:f>Comaprison!$D$60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Comaprison!$D$61:$D$85</c:f>
              <c:numCache>
                <c:formatCode>0.00;[Red]0.00</c:formatCode>
                <c:ptCount val="25"/>
                <c:pt idx="0">
                  <c:v>0</c:v>
                </c:pt>
                <c:pt idx="1">
                  <c:v>8.2999999999999901</c:v>
                </c:pt>
                <c:pt idx="2">
                  <c:v>9.2000000000000028</c:v>
                </c:pt>
                <c:pt idx="3">
                  <c:v>10.1</c:v>
                </c:pt>
                <c:pt idx="4">
                  <c:v>10.100000000000001</c:v>
                </c:pt>
                <c:pt idx="5">
                  <c:v>11.499999999999998</c:v>
                </c:pt>
                <c:pt idx="6">
                  <c:v>12.700000000000006</c:v>
                </c:pt>
                <c:pt idx="7">
                  <c:v>14.199999999999987</c:v>
                </c:pt>
                <c:pt idx="8">
                  <c:v>9.7000000000000028</c:v>
                </c:pt>
                <c:pt idx="9">
                  <c:v>9.4000000000000021</c:v>
                </c:pt>
                <c:pt idx="10">
                  <c:v>10.600000000000012</c:v>
                </c:pt>
                <c:pt idx="11">
                  <c:v>9.5000000000000018</c:v>
                </c:pt>
                <c:pt idx="12">
                  <c:v>7.8999999999999932</c:v>
                </c:pt>
                <c:pt idx="13">
                  <c:v>7.8000000000000069</c:v>
                </c:pt>
                <c:pt idx="14">
                  <c:v>7.4999999999999876</c:v>
                </c:pt>
                <c:pt idx="15">
                  <c:v>7.0000000000000115</c:v>
                </c:pt>
                <c:pt idx="16">
                  <c:v>6.7999999999999989</c:v>
                </c:pt>
                <c:pt idx="17">
                  <c:v>6.9</c:v>
                </c:pt>
                <c:pt idx="18">
                  <c:v>6.8000000000000087</c:v>
                </c:pt>
                <c:pt idx="19">
                  <c:v>6.0999999999999917</c:v>
                </c:pt>
                <c:pt idx="20">
                  <c:v>2.2999999999999852</c:v>
                </c:pt>
                <c:pt idx="21">
                  <c:v>8.6000000000000014</c:v>
                </c:pt>
                <c:pt idx="22">
                  <c:v>3.0999999999999934</c:v>
                </c:pt>
                <c:pt idx="23">
                  <c:v>5.4000000000000066</c:v>
                </c:pt>
                <c:pt idx="24">
                  <c:v>5.0000000000000036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71-413A-9C59-DCB130B72FC6}"/>
            </c:ext>
          </c:extLst>
        </c:ser>
        <c:ser>
          <c:idx val="3"/>
          <c:order val="3"/>
          <c:tx>
            <c:strRef>
              <c:f>Comaprison!$E$60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Comaprison!$E$61:$E$85</c:f>
              <c:numCache>
                <c:formatCode>0.00;[Red]0.00</c:formatCode>
                <c:ptCount val="25"/>
                <c:pt idx="0">
                  <c:v>0</c:v>
                </c:pt>
                <c:pt idx="1">
                  <c:v>1.8591362455519127</c:v>
                </c:pt>
                <c:pt idx="2">
                  <c:v>0.24720386993531229</c:v>
                </c:pt>
                <c:pt idx="3">
                  <c:v>0.14584235126242295</c:v>
                </c:pt>
                <c:pt idx="4">
                  <c:v>1.254151059647463</c:v>
                </c:pt>
                <c:pt idx="5">
                  <c:v>1.143338234713009</c:v>
                </c:pt>
                <c:pt idx="6">
                  <c:v>1.8961601481504307</c:v>
                </c:pt>
                <c:pt idx="7">
                  <c:v>1.2823562934461998</c:v>
                </c:pt>
                <c:pt idx="8">
                  <c:v>-1.0593569674110255</c:v>
                </c:pt>
                <c:pt idx="9">
                  <c:v>-5.3265539891822016</c:v>
                </c:pt>
                <c:pt idx="10">
                  <c:v>1.480089714577612</c:v>
                </c:pt>
                <c:pt idx="11">
                  <c:v>0.85696270915436179</c:v>
                </c:pt>
                <c:pt idx="12">
                  <c:v>-3.1750566084242191</c:v>
                </c:pt>
                <c:pt idx="13">
                  <c:v>-1.8266320076835838</c:v>
                </c:pt>
                <c:pt idx="14">
                  <c:v>7.5262255224321353E-2</c:v>
                </c:pt>
                <c:pt idx="15">
                  <c:v>0.7456175207258583</c:v>
                </c:pt>
                <c:pt idx="16">
                  <c:v>1.3545272337265399</c:v>
                </c:pt>
                <c:pt idx="17">
                  <c:v>1.6919250626381044</c:v>
                </c:pt>
                <c:pt idx="18">
                  <c:v>0.6814676563567218</c:v>
                </c:pt>
                <c:pt idx="19">
                  <c:v>0.41838432331905695</c:v>
                </c:pt>
                <c:pt idx="20">
                  <c:v>-8.9520383779911867</c:v>
                </c:pt>
                <c:pt idx="21">
                  <c:v>8.8032121852111054</c:v>
                </c:pt>
                <c:pt idx="22">
                  <c:v>4.9743862469792175</c:v>
                </c:pt>
                <c:pt idx="23">
                  <c:v>1.0194293179535514</c:v>
                </c:pt>
                <c:pt idx="24">
                  <c:v>0.58635073578461494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71-413A-9C59-DCB130B72FC6}"/>
            </c:ext>
          </c:extLst>
        </c:ser>
        <c:ser>
          <c:idx val="4"/>
          <c:order val="4"/>
          <c:tx>
            <c:strRef>
              <c:f>Comaprison!$F$60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Comaprison!$F$61:$F$85</c:f>
              <c:numCache>
                <c:formatCode>0.00;[Red]0.00</c:formatCode>
                <c:ptCount val="25"/>
                <c:pt idx="0">
                  <c:v>0</c:v>
                </c:pt>
                <c:pt idx="1">
                  <c:v>1.83707578079006</c:v>
                </c:pt>
                <c:pt idx="2">
                  <c:v>1.126504883750397</c:v>
                </c:pt>
                <c:pt idx="3">
                  <c:v>0.98867169668454602</c:v>
                </c:pt>
                <c:pt idx="4">
                  <c:v>2.5187399823060161</c:v>
                </c:pt>
                <c:pt idx="5">
                  <c:v>1.9868633827927979</c:v>
                </c:pt>
                <c:pt idx="6">
                  <c:v>2.9364103609033827</c:v>
                </c:pt>
                <c:pt idx="7">
                  <c:v>2.4787572356275844</c:v>
                </c:pt>
                <c:pt idx="8">
                  <c:v>0.26076734325979184</c:v>
                </c:pt>
                <c:pt idx="9">
                  <c:v>-2.7249666772153627</c:v>
                </c:pt>
                <c:pt idx="10">
                  <c:v>1.8362783329115673</c:v>
                </c:pt>
                <c:pt idx="11">
                  <c:v>2.4822773818243409</c:v>
                </c:pt>
                <c:pt idx="12">
                  <c:v>0.22753254374543119</c:v>
                </c:pt>
                <c:pt idx="13">
                  <c:v>0.93061134811505353</c:v>
                </c:pt>
                <c:pt idx="14">
                  <c:v>0.99773717820990004</c:v>
                </c:pt>
                <c:pt idx="15">
                  <c:v>0.99765645831359928</c:v>
                </c:pt>
                <c:pt idx="16">
                  <c:v>0.73757066243545577</c:v>
                </c:pt>
                <c:pt idx="17">
                  <c:v>2.2693807801036066</c:v>
                </c:pt>
                <c:pt idx="18">
                  <c:v>1.5847413424888785</c:v>
                </c:pt>
                <c:pt idx="19">
                  <c:v>2.101902885141028</c:v>
                </c:pt>
                <c:pt idx="20">
                  <c:v>-7.6070732426070338</c:v>
                </c:pt>
                <c:pt idx="21">
                  <c:v>6.7897669903770579</c:v>
                </c:pt>
                <c:pt idx="22">
                  <c:v>2.7998979655314757</c:v>
                </c:pt>
                <c:pt idx="23">
                  <c:v>1.8190161199480155</c:v>
                </c:pt>
                <c:pt idx="24">
                  <c:v>1.4263884112210379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71-413A-9C59-DCB130B72FC6}"/>
            </c:ext>
          </c:extLst>
        </c:ser>
        <c:ser>
          <c:idx val="5"/>
          <c:order val="5"/>
          <c:tx>
            <c:strRef>
              <c:f>Comaprison!$G$60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Comaprison!$G$61:$G$85</c:f>
              <c:numCache>
                <c:formatCode>0.00;[Red]0.00</c:formatCode>
                <c:ptCount val="25"/>
                <c:pt idx="0">
                  <c:v>0</c:v>
                </c:pt>
                <c:pt idx="1">
                  <c:v>0.27091037669623547</c:v>
                </c:pt>
                <c:pt idx="2">
                  <c:v>5.2322797602594444E-2</c:v>
                </c:pt>
                <c:pt idx="3">
                  <c:v>1.4167344994399169</c:v>
                </c:pt>
                <c:pt idx="4">
                  <c:v>2.1021675904314305</c:v>
                </c:pt>
                <c:pt idx="5">
                  <c:v>1.8450502312056138</c:v>
                </c:pt>
                <c:pt idx="6">
                  <c:v>1.5202109626587035</c:v>
                </c:pt>
                <c:pt idx="7">
                  <c:v>1.7212780219238839</c:v>
                </c:pt>
                <c:pt idx="8">
                  <c:v>-1.1591693098249445</c:v>
                </c:pt>
                <c:pt idx="9">
                  <c:v>-5.9358687022556369</c:v>
                </c:pt>
                <c:pt idx="10">
                  <c:v>4.1318495689043209</c:v>
                </c:pt>
                <c:pt idx="11">
                  <c:v>-0.18553754912203441</c:v>
                </c:pt>
                <c:pt idx="12">
                  <c:v>1.6563340852236992</c:v>
                </c:pt>
                <c:pt idx="13">
                  <c:v>2.0214207032064024</c:v>
                </c:pt>
                <c:pt idx="14">
                  <c:v>0.81909567168763264</c:v>
                </c:pt>
                <c:pt idx="15">
                  <c:v>1.8509580508362786</c:v>
                </c:pt>
                <c:pt idx="16">
                  <c:v>0.67053835427166308</c:v>
                </c:pt>
                <c:pt idx="17">
                  <c:v>1.6249004252931583</c:v>
                </c:pt>
                <c:pt idx="18">
                  <c:v>0.85320155445740231</c:v>
                </c:pt>
                <c:pt idx="19">
                  <c:v>-0.3121139674744533</c:v>
                </c:pt>
                <c:pt idx="20">
                  <c:v>-4.3303663551756921</c:v>
                </c:pt>
                <c:pt idx="21">
                  <c:v>3.6547991541814047</c:v>
                </c:pt>
                <c:pt idx="22">
                  <c:v>1.2888934396112672</c:v>
                </c:pt>
                <c:pt idx="23">
                  <c:v>0.7120366462398241</c:v>
                </c:pt>
                <c:pt idx="24">
                  <c:v>-0.16090508341253579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71-413A-9C59-DCB130B72FC6}"/>
            </c:ext>
          </c:extLst>
        </c:ser>
        <c:ser>
          <c:idx val="6"/>
          <c:order val="6"/>
          <c:tx>
            <c:strRef>
              <c:f>Comaprison!$H$60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Comaprison!$H$61:$H$85</c:f>
              <c:numCache>
                <c:formatCode>0.00;[Red]0.00</c:formatCode>
                <c:ptCount val="25"/>
                <c:pt idx="0">
                  <c:v>0</c:v>
                </c:pt>
                <c:pt idx="1">
                  <c:v>2.3910223004349982</c:v>
                </c:pt>
                <c:pt idx="2">
                  <c:v>1.7090273676961205</c:v>
                </c:pt>
                <c:pt idx="3">
                  <c:v>3.2185160821861256</c:v>
                </c:pt>
                <c:pt idx="4">
                  <c:v>2.3260185502209203</c:v>
                </c:pt>
                <c:pt idx="5">
                  <c:v>2.7906547346794932</c:v>
                </c:pt>
                <c:pt idx="6">
                  <c:v>2.189821288298051</c:v>
                </c:pt>
                <c:pt idx="7">
                  <c:v>2.9309113329612533</c:v>
                </c:pt>
                <c:pt idx="8">
                  <c:v>-4.9411654562256088E-2</c:v>
                </c:pt>
                <c:pt idx="9">
                  <c:v>-4.5874081963288935</c:v>
                </c:pt>
                <c:pt idx="10">
                  <c:v>2.260544617770389</c:v>
                </c:pt>
                <c:pt idx="11">
                  <c:v>0.85143773730987982</c:v>
                </c:pt>
                <c:pt idx="12">
                  <c:v>1.5282603445570875</c:v>
                </c:pt>
                <c:pt idx="13">
                  <c:v>1.7184696201136038</c:v>
                </c:pt>
                <c:pt idx="14">
                  <c:v>3.1601734926926186</c:v>
                </c:pt>
                <c:pt idx="15">
                  <c:v>2.1404056110619543</c:v>
                </c:pt>
                <c:pt idx="16">
                  <c:v>2.2065202160067585</c:v>
                </c:pt>
                <c:pt idx="17">
                  <c:v>3.0232221788549589</c:v>
                </c:pt>
                <c:pt idx="18">
                  <c:v>1.5513309622721265</c:v>
                </c:pt>
                <c:pt idx="19">
                  <c:v>1.2562990120422148</c:v>
                </c:pt>
                <c:pt idx="20">
                  <c:v>-10.047896643494491</c:v>
                </c:pt>
                <c:pt idx="21">
                  <c:v>8.5431118437083917</c:v>
                </c:pt>
                <c:pt idx="22">
                  <c:v>5.1497039021777695</c:v>
                </c:pt>
                <c:pt idx="23">
                  <c:v>0.27165002615943112</c:v>
                </c:pt>
                <c:pt idx="24">
                  <c:v>1.0424160769489028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71-413A-9C59-DCB130B72FC6}"/>
            </c:ext>
          </c:extLst>
        </c:ser>
        <c:ser>
          <c:idx val="7"/>
          <c:order val="7"/>
          <c:tx>
            <c:strRef>
              <c:f>Comaprison!$I$60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Comaprison!$I$61:$I$85</c:f>
              <c:numCache>
                <c:formatCode>0.00;[Red]0.00</c:formatCode>
                <c:ptCount val="25"/>
                <c:pt idx="0">
                  <c:v>0</c:v>
                </c:pt>
                <c:pt idx="1">
                  <c:v>2.3921727120783576</c:v>
                </c:pt>
                <c:pt idx="2">
                  <c:v>8.0788292797523287</c:v>
                </c:pt>
                <c:pt idx="3">
                  <c:v>8.6392983972005428</c:v>
                </c:pt>
                <c:pt idx="4">
                  <c:v>4.336665978510772</c:v>
                </c:pt>
                <c:pt idx="5">
                  <c:v>4.2086903560723448</c:v>
                </c:pt>
                <c:pt idx="6">
                  <c:v>5.7042519175931048</c:v>
                </c:pt>
                <c:pt idx="7">
                  <c:v>9.1161673653034541</c:v>
                </c:pt>
                <c:pt idx="8">
                  <c:v>0.92369579212998809</c:v>
                </c:pt>
                <c:pt idx="9">
                  <c:v>2.3147106193100053</c:v>
                </c:pt>
                <c:pt idx="10">
                  <c:v>6.5773743524642425</c:v>
                </c:pt>
                <c:pt idx="11">
                  <c:v>3.7496904856479421</c:v>
                </c:pt>
                <c:pt idx="12">
                  <c:v>-3.7471713986414099</c:v>
                </c:pt>
                <c:pt idx="13">
                  <c:v>-1.5219792049416137</c:v>
                </c:pt>
                <c:pt idx="14">
                  <c:v>4.9847750670949198</c:v>
                </c:pt>
                <c:pt idx="15">
                  <c:v>-1.424884939374917</c:v>
                </c:pt>
                <c:pt idx="16">
                  <c:v>8.8150866425181924</c:v>
                </c:pt>
                <c:pt idx="17">
                  <c:v>3.026854686940232</c:v>
                </c:pt>
                <c:pt idx="18">
                  <c:v>-3.7479601571133219</c:v>
                </c:pt>
                <c:pt idx="19">
                  <c:v>-2.3614353877057579</c:v>
                </c:pt>
                <c:pt idx="20">
                  <c:v>4.4418086535867216</c:v>
                </c:pt>
                <c:pt idx="21">
                  <c:v>4.1308968503447039</c:v>
                </c:pt>
                <c:pt idx="22">
                  <c:v>4.3528108752134198</c:v>
                </c:pt>
                <c:pt idx="23">
                  <c:v>5.3323511721640928</c:v>
                </c:pt>
                <c:pt idx="24">
                  <c:v>3.6631205683071655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71-413A-9C59-DCB130B72FC6}"/>
            </c:ext>
          </c:extLst>
        </c:ser>
        <c:ser>
          <c:idx val="8"/>
          <c:order val="8"/>
          <c:tx>
            <c:strRef>
              <c:f>Comaprison!$J$60</c:f>
              <c:strCache>
                <c:ptCount val="1"/>
              </c:strCache>
            </c:strRef>
          </c:tx>
          <c:spPr>
            <a:ln w="19080">
              <a:solidFill>
                <a:srgbClr val="7F7F7F"/>
              </a:solidFill>
              <a:prstDash val="sysDot"/>
              <a:round/>
            </a:ln>
          </c:spPr>
          <c:marker>
            <c:symbol val="circle"/>
            <c:size val="4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Comaprison!$A$61:$A$85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Comaprison!$J$61:$J$85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71-413A-9C59-DCB130B72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451695"/>
        <c:axId val="89832047"/>
      </c:lineChart>
      <c:catAx>
        <c:axId val="734516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9832047"/>
        <c:crosses val="autoZero"/>
        <c:auto val="1"/>
        <c:lblAlgn val="ctr"/>
        <c:lblOffset val="100"/>
        <c:noMultiLvlLbl val="0"/>
      </c:catAx>
      <c:valAx>
        <c:axId val="898320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3451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Average Annual Real GDP Growth by Sub-Period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Comaprison!$B$89</c:f>
              <c:strCache>
                <c:ptCount val="1"/>
                <c:pt idx="0">
                  <c:v>2000-2007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4472C4"/>
                      </a:solidFill>
                    </a:ln>
                  </c:spPr>
                </c15:leaderLines>
              </c:ext>
            </c:extLst>
          </c:dLbls>
          <c:cat>
            <c:strRef>
              <c:f>Comaprison!$A$90:$A$97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Comaprison!$B$90:$B$97</c:f>
              <c:numCache>
                <c:formatCode>General</c:formatCode>
                <c:ptCount val="8"/>
                <c:pt idx="0">
                  <c:v>2.5101881800232038</c:v>
                </c:pt>
                <c:pt idx="1">
                  <c:v>1.4026988550285648</c:v>
                </c:pt>
                <c:pt idx="2">
                  <c:v>10.87142857142857</c:v>
                </c:pt>
                <c:pt idx="3">
                  <c:v>1.1183126003866788</c:v>
                </c:pt>
                <c:pt idx="4">
                  <c:v>1.9818604746935407</c:v>
                </c:pt>
                <c:pt idx="5">
                  <c:v>1.2755249257083396</c:v>
                </c:pt>
                <c:pt idx="6">
                  <c:v>2.5079959509252805</c:v>
                </c:pt>
                <c:pt idx="7">
                  <c:v>6.068010858072987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C-4B0E-9972-5724EC423320}"/>
            </c:ext>
          </c:extLst>
        </c:ser>
        <c:ser>
          <c:idx val="1"/>
          <c:order val="1"/>
          <c:tx>
            <c:strRef>
              <c:f>Comaprison!$C$89</c:f>
              <c:strCache>
                <c:ptCount val="1"/>
                <c:pt idx="0">
                  <c:v>2008-2009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ED7D31"/>
                      </a:solidFill>
                    </a:ln>
                  </c:spPr>
                </c15:leaderLines>
              </c:ext>
            </c:extLst>
          </c:dLbls>
          <c:cat>
            <c:strRef>
              <c:f>Comaprison!$A$90:$A$97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Comaprison!$C$90:$C$97</c:f>
              <c:numCache>
                <c:formatCode>General</c:formatCode>
                <c:ptCount val="8"/>
                <c:pt idx="0">
                  <c:v>-1.2314564988167753</c:v>
                </c:pt>
                <c:pt idx="1">
                  <c:v>-2.4432072151089921</c:v>
                </c:pt>
                <c:pt idx="2">
                  <c:v>9.5500000000000025</c:v>
                </c:pt>
                <c:pt idx="3">
                  <c:v>-3.1929554782966134</c:v>
                </c:pt>
                <c:pt idx="4">
                  <c:v>-1.2320996669777855</c:v>
                </c:pt>
                <c:pt idx="5">
                  <c:v>-3.5475190060402908</c:v>
                </c:pt>
                <c:pt idx="6">
                  <c:v>-2.3184099254455748</c:v>
                </c:pt>
                <c:pt idx="7">
                  <c:v>1.6192032057199968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C-4B0E-9972-5724EC423320}"/>
            </c:ext>
          </c:extLst>
        </c:ser>
        <c:ser>
          <c:idx val="2"/>
          <c:order val="2"/>
          <c:tx>
            <c:strRef>
              <c:f>Comaprison!$D$89</c:f>
              <c:strCache>
                <c:ptCount val="1"/>
                <c:pt idx="0">
                  <c:v>2010-2019</c:v>
                </c:pt>
              </c:strCache>
            </c:strRef>
          </c:tx>
          <c:spPr>
            <a:solidFill>
              <a:srgbClr val="A5A5A5"/>
            </a:solidFill>
            <a:ln w="12600">
              <a:solidFill>
                <a:srgbClr val="A5A5A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A5A5A5"/>
                      </a:solidFill>
                    </a:ln>
                  </c:spPr>
                </c15:leaderLines>
              </c:ext>
            </c:extLst>
          </c:dLbls>
          <c:cat>
            <c:strRef>
              <c:f>Comaprison!$A$90:$A$97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Comaprison!$D$90:$D$97</c:f>
              <c:numCache>
                <c:formatCode>General</c:formatCode>
                <c:ptCount val="8"/>
                <c:pt idx="0">
                  <c:v>2.3963316019492815</c:v>
                </c:pt>
                <c:pt idx="1">
                  <c:v>2.0666391564088324</c:v>
                </c:pt>
                <c:pt idx="2">
                  <c:v>7.6900000000000022</c:v>
                </c:pt>
                <c:pt idx="3">
                  <c:v>0.23025478596147736</c:v>
                </c:pt>
                <c:pt idx="4">
                  <c:v>1.4165688913288863</c:v>
                </c:pt>
                <c:pt idx="5">
                  <c:v>1.3130646897284073</c:v>
                </c:pt>
                <c:pt idx="6">
                  <c:v>1.969666379268159</c:v>
                </c:pt>
                <c:pt idx="7">
                  <c:v>1.4350350146888509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8C-4B0E-9972-5724EC423320}"/>
            </c:ext>
          </c:extLst>
        </c:ser>
        <c:ser>
          <c:idx val="3"/>
          <c:order val="3"/>
          <c:tx>
            <c:strRef>
              <c:f>Comaprison!$E$89</c:f>
              <c:strCache>
                <c:ptCount val="1"/>
                <c:pt idx="0">
                  <c:v>2020-2024</c:v>
                </c:pt>
              </c:strCache>
            </c:strRef>
          </c:tx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5B9BD5"/>
                      </a:solidFill>
                    </a:ln>
                  </c:spPr>
                </c15:leaderLines>
              </c:ext>
            </c:extLst>
          </c:dLbls>
          <c:cat>
            <c:strRef>
              <c:f>Comaprison!$A$90:$A$97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Comaprison!$E$90:$E$97</c:f>
              <c:numCache>
                <c:formatCode>General</c:formatCode>
                <c:ptCount val="8"/>
                <c:pt idx="0">
                  <c:v>2.4644812002361243</c:v>
                </c:pt>
                <c:pt idx="1">
                  <c:v>0.13626253108941447</c:v>
                </c:pt>
                <c:pt idx="2">
                  <c:v>4.8799999999999972</c:v>
                </c:pt>
                <c:pt idx="3">
                  <c:v>1.2862680215874605</c:v>
                </c:pt>
                <c:pt idx="4">
                  <c:v>1.0455992488941106</c:v>
                </c:pt>
                <c:pt idx="5">
                  <c:v>0.23289156028885363</c:v>
                </c:pt>
                <c:pt idx="6">
                  <c:v>0.99179704110000078</c:v>
                </c:pt>
                <c:pt idx="7">
                  <c:v>4.3841976239232201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8C-4B0E-9972-5724EC423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44666"/>
        <c:axId val="31188451"/>
      </c:barChart>
      <c:catAx>
        <c:axId val="80644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1188451"/>
        <c:crosses val="autoZero"/>
        <c:auto val="1"/>
        <c:lblAlgn val="ctr"/>
        <c:lblOffset val="100"/>
        <c:noMultiLvlLbl val="0"/>
      </c:catAx>
      <c:valAx>
        <c:axId val="31188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0644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Output Gap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Comaprison!$B$101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Comaprison!$B$102:$B$126</c:f>
              <c:numCache>
                <c:formatCode>0.00;[Red]0.00</c:formatCode>
                <c:ptCount val="25"/>
                <c:pt idx="0">
                  <c:v>2.7817048841314618</c:v>
                </c:pt>
                <c:pt idx="1">
                  <c:v>1.0956701588658495</c:v>
                </c:pt>
                <c:pt idx="2">
                  <c:v>0.24414229127373605</c:v>
                </c:pt>
                <c:pt idx="3">
                  <c:v>0.53302238657558931</c:v>
                </c:pt>
                <c:pt idx="4">
                  <c:v>1.9153324006961452</c:v>
                </c:pt>
                <c:pt idx="5">
                  <c:v>3.0061472677403409</c:v>
                </c:pt>
                <c:pt idx="6">
                  <c:v>3.4680990569138843</c:v>
                </c:pt>
                <c:pt idx="7">
                  <c:v>3.1960436369801033</c:v>
                </c:pt>
                <c:pt idx="8">
                  <c:v>1.0672678156519013</c:v>
                </c:pt>
                <c:pt idx="9">
                  <c:v>-3.6373479458574414</c:v>
                </c:pt>
                <c:pt idx="10">
                  <c:v>-3.1017753479596095</c:v>
                </c:pt>
                <c:pt idx="11">
                  <c:v>-3.594271190828108</c:v>
                </c:pt>
                <c:pt idx="12">
                  <c:v>-3.3596215248520513</c:v>
                </c:pt>
                <c:pt idx="13">
                  <c:v>-3.2531123985905777</c:v>
                </c:pt>
                <c:pt idx="14">
                  <c:v>-2.718702682535926</c:v>
                </c:pt>
                <c:pt idx="15">
                  <c:v>-1.7426335168622846</c:v>
                </c:pt>
                <c:pt idx="16">
                  <c:v>-1.8074206219250402</c:v>
                </c:pt>
                <c:pt idx="17">
                  <c:v>-1.2281783377768711</c:v>
                </c:pt>
                <c:pt idx="18">
                  <c:v>-0.11398712383112888</c:v>
                </c:pt>
                <c:pt idx="19">
                  <c:v>0.66946694133942408</c:v>
                </c:pt>
                <c:pt idx="20">
                  <c:v>-3.1251895822936278</c:v>
                </c:pt>
                <c:pt idx="21">
                  <c:v>1.087132620566889</c:v>
                </c:pt>
                <c:pt idx="22">
                  <c:v>1.911762693426087</c:v>
                </c:pt>
                <c:pt idx="23">
                  <c:v>3.1827972257568895</c:v>
                </c:pt>
                <c:pt idx="24">
                  <c:v>4.354437743149921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1-4FB4-8C0E-3F83117C140B}"/>
            </c:ext>
          </c:extLst>
        </c:ser>
        <c:ser>
          <c:idx val="1"/>
          <c:order val="1"/>
          <c:tx>
            <c:strRef>
              <c:f>Comaprison!$C$101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Comaprison!$C$102:$C$126</c:f>
              <c:numCache>
                <c:formatCode>0.00</c:formatCode>
                <c:ptCount val="25"/>
                <c:pt idx="0">
                  <c:v>2.0895781722060258</c:v>
                </c:pt>
                <c:pt idx="1">
                  <c:v>2.4222732627207035</c:v>
                </c:pt>
                <c:pt idx="2">
                  <c:v>0.81117040866350876</c:v>
                </c:pt>
                <c:pt idx="3">
                  <c:v>-1.1201363385755316</c:v>
                </c:pt>
                <c:pt idx="4">
                  <c:v>-1.7844448630730474</c:v>
                </c:pt>
                <c:pt idx="5">
                  <c:v>-2.0712366186788249</c:v>
                </c:pt>
                <c:pt idx="6">
                  <c:v>0.5537008788617731</c:v>
                </c:pt>
                <c:pt idx="7">
                  <c:v>2.2284723570899381</c:v>
                </c:pt>
                <c:pt idx="8">
                  <c:v>1.5327795947739695</c:v>
                </c:pt>
                <c:pt idx="9">
                  <c:v>-5.2638688930276363</c:v>
                </c:pt>
                <c:pt idx="10">
                  <c:v>-2.7055895210575964</c:v>
                </c:pt>
                <c:pt idx="11">
                  <c:v>-0.21316000988286132</c:v>
                </c:pt>
                <c:pt idx="12">
                  <c:v>-0.73257973155943179</c:v>
                </c:pt>
                <c:pt idx="13">
                  <c:v>-1.3698420399438263</c:v>
                </c:pt>
                <c:pt idx="14">
                  <c:v>-0.36909715359097517</c:v>
                </c:pt>
                <c:pt idx="15">
                  <c:v>-4.0909601582039511E-2</c:v>
                </c:pt>
                <c:pt idx="16">
                  <c:v>0.97990591765989965</c:v>
                </c:pt>
                <c:pt idx="17">
                  <c:v>2.9997153706273405</c:v>
                </c:pt>
                <c:pt idx="18">
                  <c:v>3.1286013425704327</c:v>
                </c:pt>
                <c:pt idx="19">
                  <c:v>3.1088815601153383</c:v>
                </c:pt>
                <c:pt idx="20">
                  <c:v>-2.5247048368600384</c:v>
                </c:pt>
                <c:pt idx="21">
                  <c:v>0.16703871492268035</c:v>
                </c:pt>
                <c:pt idx="22">
                  <c:v>1.0114900007693384</c:v>
                </c:pt>
                <c:pt idx="23">
                  <c:v>-0.88704661296853826</c:v>
                </c:pt>
                <c:pt idx="24">
                  <c:v>-1.9011480206223521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1-4FB4-8C0E-3F83117C140B}"/>
            </c:ext>
          </c:extLst>
        </c:ser>
        <c:ser>
          <c:idx val="2"/>
          <c:order val="2"/>
          <c:tx>
            <c:strRef>
              <c:f>Comaprison!$D$101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Comaprison!$D$102:$D$126</c:f>
              <c:numCache>
                <c:formatCode>0.00;[Red]0.00</c:formatCode>
                <c:ptCount val="25"/>
                <c:pt idx="0">
                  <c:v>95.97435345717544</c:v>
                </c:pt>
                <c:pt idx="1">
                  <c:v>44.086052338724649</c:v>
                </c:pt>
                <c:pt idx="2">
                  <c:v>19.176729480766394</c:v>
                </c:pt>
                <c:pt idx="3">
                  <c:v>5.5991901698518651</c:v>
                </c:pt>
                <c:pt idx="4">
                  <c:v>-2.7245669492688385</c:v>
                </c:pt>
                <c:pt idx="5">
                  <c:v>-6.8015129425092509</c:v>
                </c:pt>
                <c:pt idx="6">
                  <c:v>-7.8920302790749117</c:v>
                </c:pt>
                <c:pt idx="7">
                  <c:v>-6.3395803170120262</c:v>
                </c:pt>
                <c:pt idx="8">
                  <c:v>-7.4018296395467837</c:v>
                </c:pt>
                <c:pt idx="9">
                  <c:v>-7.8258139770602506</c:v>
                </c:pt>
                <c:pt idx="10">
                  <c:v>-6.4609861396039481</c:v>
                </c:pt>
                <c:pt idx="11">
                  <c:v>-5.3767451823774923</c:v>
                </c:pt>
                <c:pt idx="12">
                  <c:v>-5.1281181984580222</c:v>
                </c:pt>
                <c:pt idx="13">
                  <c:v>-4.5057840386582919</c:v>
                </c:pt>
                <c:pt idx="14">
                  <c:v>-3.7076820966145005</c:v>
                </c:pt>
                <c:pt idx="15">
                  <c:v>-2.981670842955034</c:v>
                </c:pt>
                <c:pt idx="16">
                  <c:v>-2.0992949367581475</c:v>
                </c:pt>
                <c:pt idx="17">
                  <c:v>-0.82887090511567452</c:v>
                </c:pt>
                <c:pt idx="18">
                  <c:v>0.65417099745677376</c:v>
                </c:pt>
                <c:pt idx="19">
                  <c:v>1.7407941779739189</c:v>
                </c:pt>
                <c:pt idx="20">
                  <c:v>-0.62155601397480198</c:v>
                </c:pt>
                <c:pt idx="21">
                  <c:v>3.2474729238411695</c:v>
                </c:pt>
                <c:pt idx="22">
                  <c:v>2.0378611090272258</c:v>
                </c:pt>
                <c:pt idx="23">
                  <c:v>3.2693247267273096</c:v>
                </c:pt>
                <c:pt idx="24">
                  <c:v>4.2840558916661502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71-4FB4-8C0E-3F83117C140B}"/>
            </c:ext>
          </c:extLst>
        </c:ser>
        <c:ser>
          <c:idx val="3"/>
          <c:order val="3"/>
          <c:tx>
            <c:strRef>
              <c:f>Comaprison!$E$101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Comaprison!$E$102:$E$126</c:f>
              <c:numCache>
                <c:formatCode>0.00;[Red]0.00</c:formatCode>
                <c:ptCount val="25"/>
                <c:pt idx="0">
                  <c:v>-2.2336395116982897</c:v>
                </c:pt>
                <c:pt idx="1">
                  <c:v>-0.46586672582149302</c:v>
                </c:pt>
                <c:pt idx="2">
                  <c:v>-0.26958847419470205</c:v>
                </c:pt>
                <c:pt idx="3">
                  <c:v>-0.17393616061426989</c:v>
                </c:pt>
                <c:pt idx="4">
                  <c:v>1.0276623393307247</c:v>
                </c:pt>
                <c:pt idx="5">
                  <c:v>2.1317145607752161</c:v>
                </c:pt>
                <c:pt idx="6">
                  <c:v>4.0164858371401531</c:v>
                </c:pt>
                <c:pt idx="7">
                  <c:v>5.2979260336760827</c:v>
                </c:pt>
                <c:pt idx="8">
                  <c:v>4.1306302866270936</c:v>
                </c:pt>
                <c:pt idx="9">
                  <c:v>-1.4650842670427471</c:v>
                </c:pt>
                <c:pt idx="10">
                  <c:v>-5.6361010546622056E-2</c:v>
                </c:pt>
                <c:pt idx="11">
                  <c:v>0.75006082136535412</c:v>
                </c:pt>
                <c:pt idx="12">
                  <c:v>-2.4972310454052553</c:v>
                </c:pt>
                <c:pt idx="13">
                  <c:v>-4.3258666467459399</c:v>
                </c:pt>
                <c:pt idx="14">
                  <c:v>-4.3013373904965544</c:v>
                </c:pt>
                <c:pt idx="15">
                  <c:v>-3.6355752356111362</c:v>
                </c:pt>
                <c:pt idx="16">
                  <c:v>-2.3786759612496251</c:v>
                </c:pt>
                <c:pt idx="17">
                  <c:v>-0.77628389832314082</c:v>
                </c:pt>
                <c:pt idx="18">
                  <c:v>-0.14954519774267219</c:v>
                </c:pt>
                <c:pt idx="19">
                  <c:v>0.21861688887170797</c:v>
                </c:pt>
                <c:pt idx="20">
                  <c:v>-8.7981041661965556</c:v>
                </c:pt>
                <c:pt idx="21">
                  <c:v>-0.818576840512935</c:v>
                </c:pt>
                <c:pt idx="22">
                  <c:v>4.0636672317316682</c:v>
                </c:pt>
                <c:pt idx="23">
                  <c:v>5.0726268314133653</c:v>
                </c:pt>
                <c:pt idx="24">
                  <c:v>5.6365722394010787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71-4FB4-8C0E-3F83117C140B}"/>
            </c:ext>
          </c:extLst>
        </c:ser>
        <c:ser>
          <c:idx val="4"/>
          <c:order val="4"/>
          <c:tx>
            <c:strRef>
              <c:f>Comaprison!$F$101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Comaprison!$F$102:$F$126</c:f>
              <c:numCache>
                <c:formatCode>0.00;[Red]0.00</c:formatCode>
                <c:ptCount val="25"/>
                <c:pt idx="0">
                  <c:v>-1.6059782281375092</c:v>
                </c:pt>
                <c:pt idx="1">
                  <c:v>-1.0572372338794285</c:v>
                </c:pt>
                <c:pt idx="2">
                  <c:v>-1.1807159908945817</c:v>
                </c:pt>
                <c:pt idx="3">
                  <c:v>-1.423468300117863</c:v>
                </c:pt>
                <c:pt idx="4">
                  <c:v>-0.16085625405847409</c:v>
                </c:pt>
                <c:pt idx="5">
                  <c:v>0.60469914067751962</c:v>
                </c:pt>
                <c:pt idx="6">
                  <c:v>2.3379364944234915</c:v>
                </c:pt>
                <c:pt idx="7">
                  <c:v>3.6526108194527436</c:v>
                </c:pt>
                <c:pt idx="8">
                  <c:v>2.7259061328740537</c:v>
                </c:pt>
                <c:pt idx="9">
                  <c:v>-1.2142840010813374</c:v>
                </c:pt>
                <c:pt idx="10">
                  <c:v>-0.53289660723328658</c:v>
                </c:pt>
                <c:pt idx="11">
                  <c:v>0.80128987756857217</c:v>
                </c:pt>
                <c:pt idx="12">
                  <c:v>-8.1751823179616795E-2</c:v>
                </c:pt>
                <c:pt idx="13">
                  <c:v>-0.25317217381480162</c:v>
                </c:pt>
                <c:pt idx="14">
                  <c:v>-0.3432488739565564</c:v>
                </c:pt>
                <c:pt idx="15">
                  <c:v>-0.42176713253981485</c:v>
                </c:pt>
                <c:pt idx="16">
                  <c:v>-0.7451771291688023</c:v>
                </c:pt>
                <c:pt idx="17">
                  <c:v>0.44512423000652768</c:v>
                </c:pt>
                <c:pt idx="18">
                  <c:v>0.98312313076730518</c:v>
                </c:pt>
                <c:pt idx="19">
                  <c:v>2.0517407336050191</c:v>
                </c:pt>
                <c:pt idx="20">
                  <c:v>-6.6654783152771397</c:v>
                </c:pt>
                <c:pt idx="21">
                  <c:v>-1.3294250668687353</c:v>
                </c:pt>
                <c:pt idx="22">
                  <c:v>0.42727404707895622</c:v>
                </c:pt>
                <c:pt idx="23">
                  <c:v>1.2499043999023058</c:v>
                </c:pt>
                <c:pt idx="24">
                  <c:v>1.6954490602005472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71-4FB4-8C0E-3F83117C140B}"/>
            </c:ext>
          </c:extLst>
        </c:ser>
        <c:ser>
          <c:idx val="5"/>
          <c:order val="5"/>
          <c:tx>
            <c:strRef>
              <c:f>Comaprison!$G$101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Comaprison!$G$102:$G$126</c:f>
              <c:numCache>
                <c:formatCode>0.00;[Red]0.00</c:formatCode>
                <c:ptCount val="25"/>
                <c:pt idx="0">
                  <c:v>-0.38620321958365306</c:v>
                </c:pt>
                <c:pt idx="1">
                  <c:v>-0.82505444754135071</c:v>
                </c:pt>
                <c:pt idx="2">
                  <c:v>-1.4703612109670881</c:v>
                </c:pt>
                <c:pt idx="3">
                  <c:v>-0.77166621479559805</c:v>
                </c:pt>
                <c:pt idx="4">
                  <c:v>0.61227971043182017</c:v>
                </c:pt>
                <c:pt idx="5">
                  <c:v>1.7615956596118958</c:v>
                </c:pt>
                <c:pt idx="6">
                  <c:v>2.6025655721768395</c:v>
                </c:pt>
                <c:pt idx="7">
                  <c:v>3.6602168869282288</c:v>
                </c:pt>
                <c:pt idx="8">
                  <c:v>1.7678487937621046</c:v>
                </c:pt>
                <c:pt idx="9">
                  <c:v>-4.9157663488778551</c:v>
                </c:pt>
                <c:pt idx="10">
                  <c:v>-1.6456758484188088</c:v>
                </c:pt>
                <c:pt idx="11">
                  <c:v>-2.4768962593484782</c:v>
                </c:pt>
                <c:pt idx="12">
                  <c:v>-1.5124105857133621</c:v>
                </c:pt>
                <c:pt idx="13">
                  <c:v>-0.17866341136002237</c:v>
                </c:pt>
                <c:pt idx="14">
                  <c:v>-1.3131209615481929E-2</c:v>
                </c:pt>
                <c:pt idx="15">
                  <c:v>1.1819653433664625</c:v>
                </c:pt>
                <c:pt idx="16">
                  <c:v>1.2088584441008305</c:v>
                </c:pt>
                <c:pt idx="17">
                  <c:v>2.1978812118535167</c:v>
                </c:pt>
                <c:pt idx="18">
                  <c:v>2.4188676278473151</c:v>
                </c:pt>
                <c:pt idx="19">
                  <c:v>1.4584139402710032</c:v>
                </c:pt>
                <c:pt idx="20">
                  <c:v>-3.5405015300066625</c:v>
                </c:pt>
                <c:pt idx="21">
                  <c:v>-0.63652918382184476</c:v>
                </c:pt>
                <c:pt idx="22">
                  <c:v>2.4185870131144784E-2</c:v>
                </c:pt>
                <c:pt idx="23">
                  <c:v>0.11965153067291058</c:v>
                </c:pt>
                <c:pt idx="24">
                  <c:v>-0.64970310371943674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71-4FB4-8C0E-3F83117C140B}"/>
            </c:ext>
          </c:extLst>
        </c:ser>
        <c:ser>
          <c:idx val="6"/>
          <c:order val="6"/>
          <c:tx>
            <c:strRef>
              <c:f>Comaprison!$H$101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Comaprison!$H$102:$H$126</c:f>
              <c:numCache>
                <c:formatCode>0.00;[Red]0.00</c:formatCode>
                <c:ptCount val="25"/>
                <c:pt idx="0">
                  <c:v>-2.0493185970365828</c:v>
                </c:pt>
                <c:pt idx="1">
                  <c:v>-1.3185307875980532</c:v>
                </c:pt>
                <c:pt idx="2">
                  <c:v>-1.2147189453594422</c:v>
                </c:pt>
                <c:pt idx="3">
                  <c:v>0.38180151467698153</c:v>
                </c:pt>
                <c:pt idx="4">
                  <c:v>1.1465028501859991</c:v>
                </c:pt>
                <c:pt idx="5">
                  <c:v>2.3995146301413182</c:v>
                </c:pt>
                <c:pt idx="6">
                  <c:v>3.0897716098455139</c:v>
                </c:pt>
                <c:pt idx="7">
                  <c:v>4.5603414603057484</c:v>
                </c:pt>
                <c:pt idx="8">
                  <c:v>3.0032029636268911</c:v>
                </c:pt>
                <c:pt idx="9">
                  <c:v>-3.1213588105454453</c:v>
                </c:pt>
                <c:pt idx="10">
                  <c:v>-2.3184646061151235</c:v>
                </c:pt>
                <c:pt idx="11">
                  <c:v>-2.8470360731292121</c:v>
                </c:pt>
                <c:pt idx="12">
                  <c:v>-2.7057234473206648</c:v>
                </c:pt>
                <c:pt idx="13">
                  <c:v>-2.3671455065936642</c:v>
                </c:pt>
                <c:pt idx="14">
                  <c:v>-0.6171273340946295</c:v>
                </c:pt>
                <c:pt idx="15">
                  <c:v>0.18183144556994368</c:v>
                </c:pt>
                <c:pt idx="16">
                  <c:v>1.0698857143930627</c:v>
                </c:pt>
                <c:pt idx="17">
                  <c:v>2.7941480158273508</c:v>
                </c:pt>
                <c:pt idx="18">
                  <c:v>3.0745576076181997</c:v>
                </c:pt>
                <c:pt idx="19">
                  <c:v>3.071795962347446</c:v>
                </c:pt>
                <c:pt idx="20">
                  <c:v>-8.4233768235023039</c:v>
                </c:pt>
                <c:pt idx="21">
                  <c:v>-1.8090588495161164</c:v>
                </c:pt>
                <c:pt idx="22">
                  <c:v>2.009951085343864</c:v>
                </c:pt>
                <c:pt idx="23">
                  <c:v>1.0755611940802761</c:v>
                </c:pt>
                <c:pt idx="24">
                  <c:v>0.93371829520640104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71-4FB4-8C0E-3F83117C140B}"/>
            </c:ext>
          </c:extLst>
        </c:ser>
        <c:ser>
          <c:idx val="7"/>
          <c:order val="7"/>
          <c:tx>
            <c:strRef>
              <c:f>Comaprison!$I$101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Comaprison!$I$102:$I$126</c:f>
              <c:numCache>
                <c:formatCode>0.00;[Red]0.00</c:formatCode>
                <c:ptCount val="25"/>
                <c:pt idx="0">
                  <c:v>-8.515723311099876</c:v>
                </c:pt>
                <c:pt idx="1">
                  <c:v>-9.9209222112977518</c:v>
                </c:pt>
                <c:pt idx="2">
                  <c:v>-6.240573786749775</c:v>
                </c:pt>
                <c:pt idx="3">
                  <c:v>-1.7696911417490993</c:v>
                </c:pt>
                <c:pt idx="4">
                  <c:v>-1.0358789318204549</c:v>
                </c:pt>
                <c:pt idx="5">
                  <c:v>-0.30086784818810075</c:v>
                </c:pt>
                <c:pt idx="6">
                  <c:v>1.9939000821141946</c:v>
                </c:pt>
                <c:pt idx="7">
                  <c:v>7.8211345512225892</c:v>
                </c:pt>
                <c:pt idx="8">
                  <c:v>5.5261789747360783</c:v>
                </c:pt>
                <c:pt idx="9">
                  <c:v>4.7994136708199093</c:v>
                </c:pt>
                <c:pt idx="10">
                  <c:v>8.5072660828515119</c:v>
                </c:pt>
                <c:pt idx="11">
                  <c:v>9.4545745187003352</c:v>
                </c:pt>
                <c:pt idx="12">
                  <c:v>2.5108203726522844</c:v>
                </c:pt>
                <c:pt idx="13">
                  <c:v>-1.7013550656903713</c:v>
                </c:pt>
                <c:pt idx="14">
                  <c:v>0.55697059808570182</c:v>
                </c:pt>
                <c:pt idx="15">
                  <c:v>-3.3498656701323855</c:v>
                </c:pt>
                <c:pt idx="16">
                  <c:v>2.6089363385866644</c:v>
                </c:pt>
                <c:pt idx="17">
                  <c:v>3.2016970090780354</c:v>
                </c:pt>
                <c:pt idx="18">
                  <c:v>-2.9728025325406771</c:v>
                </c:pt>
                <c:pt idx="19">
                  <c:v>-7.4138972711153235</c:v>
                </c:pt>
                <c:pt idx="20">
                  <c:v>-5.4471055060687483</c:v>
                </c:pt>
                <c:pt idx="21">
                  <c:v>-3.6785596856009399</c:v>
                </c:pt>
                <c:pt idx="22">
                  <c:v>-1.6214644006767747</c:v>
                </c:pt>
                <c:pt idx="23">
                  <c:v>1.4685514425801469</c:v>
                </c:pt>
                <c:pt idx="24">
                  <c:v>3.041716719689449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71-4FB4-8C0E-3F83117C140B}"/>
            </c:ext>
          </c:extLst>
        </c:ser>
        <c:ser>
          <c:idx val="8"/>
          <c:order val="8"/>
          <c:tx>
            <c:strRef>
              <c:f>Comaprison!$J$101</c:f>
              <c:strCache>
                <c:ptCount val="1"/>
              </c:strCache>
            </c:strRef>
          </c:tx>
          <c:spPr>
            <a:ln w="19080">
              <a:solidFill>
                <a:srgbClr val="7F7F7F"/>
              </a:solidFill>
              <a:prstDash val="sysDot"/>
              <a:round/>
            </a:ln>
          </c:spPr>
          <c:marker>
            <c:symbol val="circle"/>
            <c:size val="4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Comaprison!$A$102:$A$126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Comaprison!$J$102:$J$126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71-4FB4-8C0E-3F83117C1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551804"/>
        <c:axId val="86278623"/>
      </c:lineChart>
      <c:catAx>
        <c:axId val="62551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6278623"/>
        <c:crosses val="autoZero"/>
        <c:auto val="1"/>
        <c:lblAlgn val="ctr"/>
        <c:lblOffset val="100"/>
        <c:noMultiLvlLbl val="0"/>
      </c:catAx>
      <c:valAx>
        <c:axId val="862786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2551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CPI Inflation Rate (%) - All Countries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Comaprison!$B$130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Comaprison!$B$131:$B$155</c:f>
              <c:numCache>
                <c:formatCode>0.00;[Red]0.00</c:formatCode>
                <c:ptCount val="25"/>
                <c:pt idx="0">
                  <c:v>0</c:v>
                </c:pt>
                <c:pt idx="1">
                  <c:v>2.8166233042185436</c:v>
                </c:pt>
                <c:pt idx="2">
                  <c:v>1.5956665649958703</c:v>
                </c:pt>
                <c:pt idx="3">
                  <c:v>2.297808936603162</c:v>
                </c:pt>
                <c:pt idx="4">
                  <c:v>2.6673913043478192</c:v>
                </c:pt>
                <c:pt idx="5">
                  <c:v>3.3661888326592884</c:v>
                </c:pt>
                <c:pt idx="6">
                  <c:v>3.2217425371414512</c:v>
                </c:pt>
                <c:pt idx="7">
                  <c:v>2.8706377320671974</c:v>
                </c:pt>
                <c:pt idx="8">
                  <c:v>3.8149162744038878</c:v>
                </c:pt>
                <c:pt idx="9">
                  <c:v>-0.32008696702499978</c:v>
                </c:pt>
                <c:pt idx="10">
                  <c:v>1.6363339780486079</c:v>
                </c:pt>
                <c:pt idx="11">
                  <c:v>3.1397311029182529</c:v>
                </c:pt>
                <c:pt idx="12">
                  <c:v>2.0731539237872565</c:v>
                </c:pt>
                <c:pt idx="13">
                  <c:v>1.4661172719590851</c:v>
                </c:pt>
                <c:pt idx="14">
                  <c:v>1.6153542360658013</c:v>
                </c:pt>
                <c:pt idx="15">
                  <c:v>0.12124284477114088</c:v>
                </c:pt>
                <c:pt idx="16">
                  <c:v>1.2670779149542981</c:v>
                </c:pt>
                <c:pt idx="17">
                  <c:v>2.1316222578696338</c:v>
                </c:pt>
                <c:pt idx="18">
                  <c:v>2.4392034954165429</c:v>
                </c:pt>
                <c:pt idx="19">
                  <c:v>1.813221823974511</c:v>
                </c:pt>
                <c:pt idx="20">
                  <c:v>1.252870101270082</c:v>
                </c:pt>
                <c:pt idx="21">
                  <c:v>4.6809809314831492</c:v>
                </c:pt>
                <c:pt idx="22">
                  <c:v>7.9908330350256156</c:v>
                </c:pt>
                <c:pt idx="23">
                  <c:v>4.1271110564338098</c:v>
                </c:pt>
                <c:pt idx="24">
                  <c:v>2.9520549518711681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7-43A7-A982-0F6C995220F2}"/>
            </c:ext>
          </c:extLst>
        </c:ser>
        <c:ser>
          <c:idx val="1"/>
          <c:order val="1"/>
          <c:tx>
            <c:strRef>
              <c:f>Comaprison!$C$130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Comaprison!$C$131:$C$155</c:f>
              <c:numCache>
                <c:formatCode>0.00</c:formatCode>
                <c:ptCount val="25"/>
                <c:pt idx="0">
                  <c:v>0</c:v>
                </c:pt>
                <c:pt idx="1">
                  <c:v>1.9838525178899704</c:v>
                </c:pt>
                <c:pt idx="2">
                  <c:v>1.4208080090776163</c:v>
                </c:pt>
                <c:pt idx="3">
                  <c:v>1.0342247011877259</c:v>
                </c:pt>
                <c:pt idx="4">
                  <c:v>1.6657331325998546</c:v>
                </c:pt>
                <c:pt idx="5">
                  <c:v>1.5469109004571757</c:v>
                </c:pt>
                <c:pt idx="6">
                  <c:v>1.5774330173465598</c:v>
                </c:pt>
                <c:pt idx="7">
                  <c:v>2.2983353436697902</c:v>
                </c:pt>
                <c:pt idx="8">
                  <c:v>2.6283882274896251</c:v>
                </c:pt>
                <c:pt idx="9">
                  <c:v>0.31273714008490172</c:v>
                </c:pt>
                <c:pt idx="10">
                  <c:v>1.1038067053753207</c:v>
                </c:pt>
                <c:pt idx="11">
                  <c:v>2.0751743771216247</c:v>
                </c:pt>
                <c:pt idx="12">
                  <c:v>2.0084896115377737</c:v>
                </c:pt>
                <c:pt idx="13">
                  <c:v>1.5047233032951617</c:v>
                </c:pt>
                <c:pt idx="14">
                  <c:v>0.90679725496939112</c:v>
                </c:pt>
                <c:pt idx="15">
                  <c:v>0.51441353751660812</c:v>
                </c:pt>
                <c:pt idx="16">
                  <c:v>0.49176919945031838</c:v>
                </c:pt>
                <c:pt idx="17">
                  <c:v>1.5094893972030978</c:v>
                </c:pt>
                <c:pt idx="18">
                  <c:v>1.7321729418277612</c:v>
                </c:pt>
                <c:pt idx="19">
                  <c:v>1.4456587717239722</c:v>
                </c:pt>
                <c:pt idx="20">
                  <c:v>0.14485748793685785</c:v>
                </c:pt>
                <c:pt idx="21">
                  <c:v>3.0666789129998722</c:v>
                </c:pt>
                <c:pt idx="22">
                  <c:v>6.8725715877369922</c:v>
                </c:pt>
                <c:pt idx="23">
                  <c:v>5.9464354590163424</c:v>
                </c:pt>
                <c:pt idx="24">
                  <c:v>2.2564932777899438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47-43A7-A982-0F6C995220F2}"/>
            </c:ext>
          </c:extLst>
        </c:ser>
        <c:ser>
          <c:idx val="2"/>
          <c:order val="2"/>
          <c:tx>
            <c:strRef>
              <c:f>Comaprison!$D$130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Comaprison!$D$131:$D$155</c:f>
              <c:numCache>
                <c:formatCode>0.00;[Red]0.00</c:formatCode>
                <c:ptCount val="25"/>
                <c:pt idx="0">
                  <c:v>0</c:v>
                </c:pt>
                <c:pt idx="1">
                  <c:v>0.71913243681150751</c:v>
                </c:pt>
                <c:pt idx="2">
                  <c:v>-0.73197550008355039</c:v>
                </c:pt>
                <c:pt idx="3">
                  <c:v>1.1276019609049763</c:v>
                </c:pt>
                <c:pt idx="4">
                  <c:v>3.8246376240093651</c:v>
                </c:pt>
                <c:pt idx="5">
                  <c:v>1.7764161684314124</c:v>
                </c:pt>
                <c:pt idx="6">
                  <c:v>1.6494331013997856</c:v>
                </c:pt>
                <c:pt idx="7">
                  <c:v>4.8167653134375419</c:v>
                </c:pt>
                <c:pt idx="8">
                  <c:v>5.9252552887091978</c:v>
                </c:pt>
                <c:pt idx="9">
                  <c:v>-0.72817133417304913</c:v>
                </c:pt>
                <c:pt idx="10">
                  <c:v>3.1753279807556982</c:v>
                </c:pt>
                <c:pt idx="11">
                  <c:v>5.5538970590433125</c:v>
                </c:pt>
                <c:pt idx="12">
                  <c:v>2.6195261648854338</c:v>
                </c:pt>
                <c:pt idx="13">
                  <c:v>2.6210490270108648</c:v>
                </c:pt>
                <c:pt idx="14">
                  <c:v>1.9216434159389519</c:v>
                </c:pt>
                <c:pt idx="15">
                  <c:v>1.437024513947625</c:v>
                </c:pt>
                <c:pt idx="16">
                  <c:v>2</c:v>
                </c:pt>
                <c:pt idx="17">
                  <c:v>1.5931372549019607</c:v>
                </c:pt>
                <c:pt idx="18">
                  <c:v>2.0747889022919233</c:v>
                </c:pt>
                <c:pt idx="19">
                  <c:v>2.8992357992587992</c:v>
                </c:pt>
                <c:pt idx="20">
                  <c:v>2.4194165837222403</c:v>
                </c:pt>
                <c:pt idx="21">
                  <c:v>0.9810271361300863</c:v>
                </c:pt>
                <c:pt idx="22">
                  <c:v>1.9735669331110046</c:v>
                </c:pt>
                <c:pt idx="23">
                  <c:v>0.23484144191731043</c:v>
                </c:pt>
                <c:pt idx="24">
                  <c:v>0.2181257208661424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47-43A7-A982-0F6C995220F2}"/>
            </c:ext>
          </c:extLst>
        </c:ser>
        <c:ser>
          <c:idx val="3"/>
          <c:order val="3"/>
          <c:tx>
            <c:strRef>
              <c:f>Comaprison!$E$130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Comaprison!$E$131:$E$155</c:f>
              <c:numCache>
                <c:formatCode>0.00;[Red]0.00</c:formatCode>
                <c:ptCount val="25"/>
                <c:pt idx="0">
                  <c:v>0</c:v>
                </c:pt>
                <c:pt idx="1">
                  <c:v>2.785165427135547</c:v>
                </c:pt>
                <c:pt idx="2">
                  <c:v>2.4653231917116765</c:v>
                </c:pt>
                <c:pt idx="3">
                  <c:v>2.6725555277285173</c:v>
                </c:pt>
                <c:pt idx="4">
                  <c:v>2.206736614236454</c:v>
                </c:pt>
                <c:pt idx="5">
                  <c:v>1.9852929852798282</c:v>
                </c:pt>
                <c:pt idx="6">
                  <c:v>2.0908439101275911</c:v>
                </c:pt>
                <c:pt idx="7">
                  <c:v>1.8297411220239639</c:v>
                </c:pt>
                <c:pt idx="8">
                  <c:v>3.3478325840102872</c:v>
                </c:pt>
                <c:pt idx="9">
                  <c:v>0.77476813138737477</c:v>
                </c:pt>
                <c:pt idx="10">
                  <c:v>1.5255160211824812</c:v>
                </c:pt>
                <c:pt idx="11">
                  <c:v>2.7806327287932624</c:v>
                </c:pt>
                <c:pt idx="12">
                  <c:v>3.0413633322676414</c:v>
                </c:pt>
                <c:pt idx="13">
                  <c:v>1.2199934227430793</c:v>
                </c:pt>
                <c:pt idx="14">
                  <c:v>0.24104742982676894</c:v>
                </c:pt>
                <c:pt idx="15">
                  <c:v>3.8790399657907502E-2</c:v>
                </c:pt>
                <c:pt idx="16">
                  <c:v>-9.4016656915623803E-2</c:v>
                </c:pt>
                <c:pt idx="17">
                  <c:v>1.2265331664570709</c:v>
                </c:pt>
                <c:pt idx="18">
                  <c:v>1.1374876360049573</c:v>
                </c:pt>
                <c:pt idx="19">
                  <c:v>0.61124694376528121</c:v>
                </c:pt>
                <c:pt idx="20">
                  <c:v>-0.137707573916896</c:v>
                </c:pt>
                <c:pt idx="21">
                  <c:v>1.873783257624936</c:v>
                </c:pt>
                <c:pt idx="22">
                  <c:v>8.2012899116168754</c:v>
                </c:pt>
                <c:pt idx="23">
                  <c:v>5.6221944219592528</c:v>
                </c:pt>
                <c:pt idx="24">
                  <c:v>0.98237302306139318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47-43A7-A982-0F6C995220F2}"/>
            </c:ext>
          </c:extLst>
        </c:ser>
        <c:ser>
          <c:idx val="4"/>
          <c:order val="4"/>
          <c:tx>
            <c:strRef>
              <c:f>Comaprison!$F$130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Comaprison!$F$131:$F$155</c:f>
              <c:numCache>
                <c:formatCode>0.00;[Red]0.00</c:formatCode>
                <c:ptCount val="25"/>
                <c:pt idx="0">
                  <c:v>0</c:v>
                </c:pt>
                <c:pt idx="1">
                  <c:v>1.6347807954960558</c:v>
                </c:pt>
                <c:pt idx="2">
                  <c:v>1.9234122872706019</c:v>
                </c:pt>
                <c:pt idx="3">
                  <c:v>2.0984721914692299</c:v>
                </c:pt>
                <c:pt idx="4">
                  <c:v>2.1420896464023653</c:v>
                </c:pt>
                <c:pt idx="5">
                  <c:v>1.7458693638048279</c:v>
                </c:pt>
                <c:pt idx="6">
                  <c:v>1.6751244960873126</c:v>
                </c:pt>
                <c:pt idx="7">
                  <c:v>1.4879980595386118</c:v>
                </c:pt>
                <c:pt idx="8">
                  <c:v>2.8128619491477553</c:v>
                </c:pt>
                <c:pt idx="9">
                  <c:v>8.7620478157508896E-2</c:v>
                </c:pt>
                <c:pt idx="10">
                  <c:v>1.5311227042093183</c:v>
                </c:pt>
                <c:pt idx="11">
                  <c:v>2.1115979517499865</c:v>
                </c:pt>
                <c:pt idx="12">
                  <c:v>1.9541953161350365</c:v>
                </c:pt>
                <c:pt idx="13">
                  <c:v>0.86371549786177437</c:v>
                </c:pt>
                <c:pt idx="14">
                  <c:v>0.50775882293795871</c:v>
                </c:pt>
                <c:pt idx="15">
                  <c:v>3.7514380512524141E-2</c:v>
                </c:pt>
                <c:pt idx="16">
                  <c:v>0.18333486112391767</c:v>
                </c:pt>
                <c:pt idx="17">
                  <c:v>1.032282750646067</c:v>
                </c:pt>
                <c:pt idx="18">
                  <c:v>1.8508150831556218</c:v>
                </c:pt>
                <c:pt idx="19">
                  <c:v>1.1082549228829162</c:v>
                </c:pt>
                <c:pt idx="20">
                  <c:v>0.47649885272443987</c:v>
                </c:pt>
                <c:pt idx="21">
                  <c:v>1.6423314103839362</c:v>
                </c:pt>
                <c:pt idx="22">
                  <c:v>5.2223674836975684</c:v>
                </c:pt>
                <c:pt idx="23">
                  <c:v>4.8783572650838654</c:v>
                </c:pt>
                <c:pt idx="24">
                  <c:v>1.999049422915165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47-43A7-A982-0F6C995220F2}"/>
            </c:ext>
          </c:extLst>
        </c:ser>
        <c:ser>
          <c:idx val="5"/>
          <c:order val="5"/>
          <c:tx>
            <c:strRef>
              <c:f>Comaprison!$G$130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Comaprison!$G$131:$G$155</c:f>
              <c:numCache>
                <c:formatCode>0.00;[Red]0.00</c:formatCode>
                <c:ptCount val="25"/>
                <c:pt idx="0">
                  <c:v>0</c:v>
                </c:pt>
                <c:pt idx="1">
                  <c:v>-0.74005550416274324</c:v>
                </c:pt>
                <c:pt idx="2">
                  <c:v>-0.92349402694231064</c:v>
                </c:pt>
                <c:pt idx="3">
                  <c:v>-0.25654181631602785</c:v>
                </c:pt>
                <c:pt idx="4">
                  <c:v>-8.5733882031078928E-3</c:v>
                </c:pt>
                <c:pt idx="5">
                  <c:v>-0.28294606876438583</c:v>
                </c:pt>
                <c:pt idx="6">
                  <c:v>0.24935511607908617</c:v>
                </c:pt>
                <c:pt idx="7">
                  <c:v>6.0039454498657774E-2</c:v>
                </c:pt>
                <c:pt idx="8">
                  <c:v>1.3800788616491921</c:v>
                </c:pt>
                <c:pt idx="9">
                  <c:v>-1.3528367295171746</c:v>
                </c:pt>
                <c:pt idx="10">
                  <c:v>-0.72824320751777527</c:v>
                </c:pt>
                <c:pt idx="11">
                  <c:v>-0.27245561610124008</c:v>
                </c:pt>
                <c:pt idx="12">
                  <c:v>-4.4064510443258167E-2</c:v>
                </c:pt>
                <c:pt idx="13">
                  <c:v>0.33503791218474566</c:v>
                </c:pt>
                <c:pt idx="14">
                  <c:v>2.7592267135325215</c:v>
                </c:pt>
                <c:pt idx="15">
                  <c:v>0.79527963057983286</c:v>
                </c:pt>
                <c:pt idx="16">
                  <c:v>-0.12725884448975933</c:v>
                </c:pt>
                <c:pt idx="17">
                  <c:v>0.48419979612638764</c:v>
                </c:pt>
                <c:pt idx="18">
                  <c:v>0.98909459802185318</c:v>
                </c:pt>
                <c:pt idx="19">
                  <c:v>0.46877615938393663</c:v>
                </c:pt>
                <c:pt idx="20">
                  <c:v>-2.49958340277311E-2</c:v>
                </c:pt>
                <c:pt idx="21">
                  <c:v>-0.23335277939826252</c:v>
                </c:pt>
                <c:pt idx="22">
                  <c:v>2.4977027817225492</c:v>
                </c:pt>
                <c:pt idx="23">
                  <c:v>3.2681336593316339</c:v>
                </c:pt>
                <c:pt idx="24">
                  <c:v>2.7385368163524064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47-43A7-A982-0F6C995220F2}"/>
            </c:ext>
          </c:extLst>
        </c:ser>
        <c:ser>
          <c:idx val="6"/>
          <c:order val="6"/>
          <c:tx>
            <c:strRef>
              <c:f>Comaprison!$H$130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Comaprison!$H$131:$H$155</c:f>
              <c:numCache>
                <c:formatCode>0.00;[Red]0.00</c:formatCode>
                <c:ptCount val="25"/>
                <c:pt idx="0">
                  <c:v>0</c:v>
                </c:pt>
                <c:pt idx="1">
                  <c:v>1.5323496027241785</c:v>
                </c:pt>
                <c:pt idx="2">
                  <c:v>1.52040245947452</c:v>
                </c:pt>
                <c:pt idx="3">
                  <c:v>1.3765003854201536</c:v>
                </c:pt>
                <c:pt idx="4">
                  <c:v>1.3903975668043098</c:v>
                </c:pt>
                <c:pt idx="5">
                  <c:v>2.0891364902506973</c:v>
                </c:pt>
                <c:pt idx="6">
                  <c:v>2.4556616643929106</c:v>
                </c:pt>
                <c:pt idx="7">
                  <c:v>2.3865615077331879</c:v>
                </c:pt>
                <c:pt idx="8">
                  <c:v>3.5214085634254642</c:v>
                </c:pt>
                <c:pt idx="9">
                  <c:v>1.9617317356009962</c:v>
                </c:pt>
                <c:pt idx="10">
                  <c:v>2.4926547246706945</c:v>
                </c:pt>
                <c:pt idx="11">
                  <c:v>3.856112446828182</c:v>
                </c:pt>
                <c:pt idx="12">
                  <c:v>2.5732347965453521</c:v>
                </c:pt>
                <c:pt idx="13">
                  <c:v>2.2916666666666696</c:v>
                </c:pt>
                <c:pt idx="14">
                  <c:v>1.4511201629327872</c:v>
                </c:pt>
                <c:pt idx="15">
                  <c:v>0.36804684232532314</c:v>
                </c:pt>
                <c:pt idx="16">
                  <c:v>1.0084173681140736</c:v>
                </c:pt>
                <c:pt idx="17">
                  <c:v>2.5577557755772298</c:v>
                </c:pt>
                <c:pt idx="18">
                  <c:v>2.29283990345938</c:v>
                </c:pt>
                <c:pt idx="19">
                  <c:v>1.7381046008644967</c:v>
                </c:pt>
                <c:pt idx="20">
                  <c:v>0.98948670377274006</c:v>
                </c:pt>
                <c:pt idx="21">
                  <c:v>2.5183710961423791</c:v>
                </c:pt>
                <c:pt idx="22">
                  <c:v>7.9220488314794624</c:v>
                </c:pt>
                <c:pt idx="23">
                  <c:v>6.793967067939402</c:v>
                </c:pt>
                <c:pt idx="24">
                  <c:v>3.271572946358889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47-43A7-A982-0F6C995220F2}"/>
            </c:ext>
          </c:extLst>
        </c:ser>
        <c:ser>
          <c:idx val="7"/>
          <c:order val="7"/>
          <c:tx>
            <c:strRef>
              <c:f>Comaprison!$I$130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Comaprison!$I$131:$I$155</c:f>
              <c:numCache>
                <c:formatCode>0.00;[Red]0.00</c:formatCode>
                <c:ptCount val="25"/>
                <c:pt idx="0">
                  <c:v>0</c:v>
                </c:pt>
                <c:pt idx="1">
                  <c:v>11.541501976284597</c:v>
                </c:pt>
                <c:pt idx="2">
                  <c:v>13.217576187101338</c:v>
                </c:pt>
                <c:pt idx="3">
                  <c:v>13.896713615023474</c:v>
                </c:pt>
                <c:pt idx="4">
                  <c:v>14.619400934322629</c:v>
                </c:pt>
                <c:pt idx="5">
                  <c:v>12.10740829537281</c:v>
                </c:pt>
                <c:pt idx="6">
                  <c:v>13.686911890504696</c:v>
                </c:pt>
                <c:pt idx="7">
                  <c:v>17.231000752445453</c:v>
                </c:pt>
                <c:pt idx="8">
                  <c:v>25.545571245186128</c:v>
                </c:pt>
                <c:pt idx="9">
                  <c:v>9.4708588957055166</c:v>
                </c:pt>
                <c:pt idx="10">
                  <c:v>13.928779918272033</c:v>
                </c:pt>
                <c:pt idx="11">
                  <c:v>26.357860217257645</c:v>
                </c:pt>
                <c:pt idx="12">
                  <c:v>28.556366585563669</c:v>
                </c:pt>
                <c:pt idx="13">
                  <c:v>32.07368620276322</c:v>
                </c:pt>
                <c:pt idx="14">
                  <c:v>14.826844996417496</c:v>
                </c:pt>
                <c:pt idx="15">
                  <c:v>11.285827197470766</c:v>
                </c:pt>
                <c:pt idx="16">
                  <c:v>6.7508971291866064</c:v>
                </c:pt>
                <c:pt idx="17">
                  <c:v>8.1308214860984638</c:v>
                </c:pt>
                <c:pt idx="18">
                  <c:v>26.632124352331608</c:v>
                </c:pt>
                <c:pt idx="19">
                  <c:v>34.375</c:v>
                </c:pt>
                <c:pt idx="20">
                  <c:v>36.200662276862175</c:v>
                </c:pt>
                <c:pt idx="21">
                  <c:v>39.727252403308746</c:v>
                </c:pt>
                <c:pt idx="22">
                  <c:v>44.957999999999998</c:v>
                </c:pt>
                <c:pt idx="23">
                  <c:v>40.702824266339221</c:v>
                </c:pt>
                <c:pt idx="24">
                  <c:v>32.788782114140034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47-43A7-A982-0F6C9952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8934996"/>
        <c:axId val="21527511"/>
      </c:lineChart>
      <c:catAx>
        <c:axId val="68934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21527511"/>
        <c:crosses val="autoZero"/>
        <c:auto val="1"/>
        <c:lblAlgn val="ctr"/>
        <c:lblOffset val="100"/>
        <c:noMultiLvlLbl val="0"/>
      </c:catAx>
      <c:valAx>
        <c:axId val="215275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8934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Q6b - CPI Inflation Rate (%), Without Iran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Comaprison!$B$130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Comaprison!$B$131:$B$155</c:f>
              <c:numCache>
                <c:formatCode>0.00;[Red]0.00</c:formatCode>
                <c:ptCount val="25"/>
                <c:pt idx="0">
                  <c:v>0</c:v>
                </c:pt>
                <c:pt idx="1">
                  <c:v>2.8166233042185436</c:v>
                </c:pt>
                <c:pt idx="2">
                  <c:v>1.5956665649958703</c:v>
                </c:pt>
                <c:pt idx="3">
                  <c:v>2.297808936603162</c:v>
                </c:pt>
                <c:pt idx="4">
                  <c:v>2.6673913043478192</c:v>
                </c:pt>
                <c:pt idx="5">
                  <c:v>3.3661888326592884</c:v>
                </c:pt>
                <c:pt idx="6">
                  <c:v>3.2217425371414512</c:v>
                </c:pt>
                <c:pt idx="7">
                  <c:v>2.8706377320671974</c:v>
                </c:pt>
                <c:pt idx="8">
                  <c:v>3.8149162744038878</c:v>
                </c:pt>
                <c:pt idx="9">
                  <c:v>-0.32008696702499978</c:v>
                </c:pt>
                <c:pt idx="10">
                  <c:v>1.6363339780486079</c:v>
                </c:pt>
                <c:pt idx="11">
                  <c:v>3.1397311029182529</c:v>
                </c:pt>
                <c:pt idx="12">
                  <c:v>2.0731539237872565</c:v>
                </c:pt>
                <c:pt idx="13">
                  <c:v>1.4661172719590851</c:v>
                </c:pt>
                <c:pt idx="14">
                  <c:v>1.6153542360658013</c:v>
                </c:pt>
                <c:pt idx="15">
                  <c:v>0.12124284477114088</c:v>
                </c:pt>
                <c:pt idx="16">
                  <c:v>1.2670779149542981</c:v>
                </c:pt>
                <c:pt idx="17">
                  <c:v>2.1316222578696338</c:v>
                </c:pt>
                <c:pt idx="18">
                  <c:v>2.4392034954165429</c:v>
                </c:pt>
                <c:pt idx="19">
                  <c:v>1.813221823974511</c:v>
                </c:pt>
                <c:pt idx="20">
                  <c:v>1.252870101270082</c:v>
                </c:pt>
                <c:pt idx="21">
                  <c:v>4.6809809314831492</c:v>
                </c:pt>
                <c:pt idx="22">
                  <c:v>7.9908330350256156</c:v>
                </c:pt>
                <c:pt idx="23">
                  <c:v>4.1271110564338098</c:v>
                </c:pt>
                <c:pt idx="24">
                  <c:v>2.9520549518711681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4C-4670-A5DE-E2293EB23DCC}"/>
            </c:ext>
          </c:extLst>
        </c:ser>
        <c:ser>
          <c:idx val="1"/>
          <c:order val="1"/>
          <c:tx>
            <c:strRef>
              <c:f>Comaprison!$C$130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Comaprison!$C$131:$C$155</c:f>
              <c:numCache>
                <c:formatCode>0.00</c:formatCode>
                <c:ptCount val="25"/>
                <c:pt idx="0">
                  <c:v>0</c:v>
                </c:pt>
                <c:pt idx="1">
                  <c:v>1.9838525178899704</c:v>
                </c:pt>
                <c:pt idx="2">
                  <c:v>1.4208080090776163</c:v>
                </c:pt>
                <c:pt idx="3">
                  <c:v>1.0342247011877259</c:v>
                </c:pt>
                <c:pt idx="4">
                  <c:v>1.6657331325998546</c:v>
                </c:pt>
                <c:pt idx="5">
                  <c:v>1.5469109004571757</c:v>
                </c:pt>
                <c:pt idx="6">
                  <c:v>1.5774330173465598</c:v>
                </c:pt>
                <c:pt idx="7">
                  <c:v>2.2983353436697902</c:v>
                </c:pt>
                <c:pt idx="8">
                  <c:v>2.6283882274896251</c:v>
                </c:pt>
                <c:pt idx="9">
                  <c:v>0.31273714008490172</c:v>
                </c:pt>
                <c:pt idx="10">
                  <c:v>1.1038067053753207</c:v>
                </c:pt>
                <c:pt idx="11">
                  <c:v>2.0751743771216247</c:v>
                </c:pt>
                <c:pt idx="12">
                  <c:v>2.0084896115377737</c:v>
                </c:pt>
                <c:pt idx="13">
                  <c:v>1.5047233032951617</c:v>
                </c:pt>
                <c:pt idx="14">
                  <c:v>0.90679725496939112</c:v>
                </c:pt>
                <c:pt idx="15">
                  <c:v>0.51441353751660812</c:v>
                </c:pt>
                <c:pt idx="16">
                  <c:v>0.49176919945031838</c:v>
                </c:pt>
                <c:pt idx="17">
                  <c:v>1.5094893972030978</c:v>
                </c:pt>
                <c:pt idx="18">
                  <c:v>1.7321729418277612</c:v>
                </c:pt>
                <c:pt idx="19">
                  <c:v>1.4456587717239722</c:v>
                </c:pt>
                <c:pt idx="20">
                  <c:v>0.14485748793685785</c:v>
                </c:pt>
                <c:pt idx="21">
                  <c:v>3.0666789129998722</c:v>
                </c:pt>
                <c:pt idx="22">
                  <c:v>6.8725715877369922</c:v>
                </c:pt>
                <c:pt idx="23">
                  <c:v>5.9464354590163424</c:v>
                </c:pt>
                <c:pt idx="24">
                  <c:v>2.2564932777899438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4C-4670-A5DE-E2293EB23DCC}"/>
            </c:ext>
          </c:extLst>
        </c:ser>
        <c:ser>
          <c:idx val="2"/>
          <c:order val="2"/>
          <c:tx>
            <c:strRef>
              <c:f>Comaprison!$D$130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Comaprison!$D$131:$D$155</c:f>
              <c:numCache>
                <c:formatCode>0.00;[Red]0.00</c:formatCode>
                <c:ptCount val="25"/>
                <c:pt idx="0">
                  <c:v>0</c:v>
                </c:pt>
                <c:pt idx="1">
                  <c:v>0.71913243681150751</c:v>
                </c:pt>
                <c:pt idx="2">
                  <c:v>-0.73197550008355039</c:v>
                </c:pt>
                <c:pt idx="3">
                  <c:v>1.1276019609049763</c:v>
                </c:pt>
                <c:pt idx="4">
                  <c:v>3.8246376240093651</c:v>
                </c:pt>
                <c:pt idx="5">
                  <c:v>1.7764161684314124</c:v>
                </c:pt>
                <c:pt idx="6">
                  <c:v>1.6494331013997856</c:v>
                </c:pt>
                <c:pt idx="7">
                  <c:v>4.8167653134375419</c:v>
                </c:pt>
                <c:pt idx="8">
                  <c:v>5.9252552887091978</c:v>
                </c:pt>
                <c:pt idx="9">
                  <c:v>-0.72817133417304913</c:v>
                </c:pt>
                <c:pt idx="10">
                  <c:v>3.1753279807556982</c:v>
                </c:pt>
                <c:pt idx="11">
                  <c:v>5.5538970590433125</c:v>
                </c:pt>
                <c:pt idx="12">
                  <c:v>2.6195261648854338</c:v>
                </c:pt>
                <c:pt idx="13">
                  <c:v>2.6210490270108648</c:v>
                </c:pt>
                <c:pt idx="14">
                  <c:v>1.9216434159389519</c:v>
                </c:pt>
                <c:pt idx="15">
                  <c:v>1.437024513947625</c:v>
                </c:pt>
                <c:pt idx="16">
                  <c:v>2</c:v>
                </c:pt>
                <c:pt idx="17">
                  <c:v>1.5931372549019607</c:v>
                </c:pt>
                <c:pt idx="18">
                  <c:v>2.0747889022919233</c:v>
                </c:pt>
                <c:pt idx="19">
                  <c:v>2.8992357992587992</c:v>
                </c:pt>
                <c:pt idx="20">
                  <c:v>2.4194165837222403</c:v>
                </c:pt>
                <c:pt idx="21">
                  <c:v>0.9810271361300863</c:v>
                </c:pt>
                <c:pt idx="22">
                  <c:v>1.9735669331110046</c:v>
                </c:pt>
                <c:pt idx="23">
                  <c:v>0.23484144191731043</c:v>
                </c:pt>
                <c:pt idx="24">
                  <c:v>0.2181257208661424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04C-4670-A5DE-E2293EB23DCC}"/>
            </c:ext>
          </c:extLst>
        </c:ser>
        <c:ser>
          <c:idx val="3"/>
          <c:order val="3"/>
          <c:tx>
            <c:strRef>
              <c:f>Comaprison!$E$130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Comaprison!$E$131:$E$155</c:f>
              <c:numCache>
                <c:formatCode>0.00;[Red]0.00</c:formatCode>
                <c:ptCount val="25"/>
                <c:pt idx="0">
                  <c:v>0</c:v>
                </c:pt>
                <c:pt idx="1">
                  <c:v>2.785165427135547</c:v>
                </c:pt>
                <c:pt idx="2">
                  <c:v>2.4653231917116765</c:v>
                </c:pt>
                <c:pt idx="3">
                  <c:v>2.6725555277285173</c:v>
                </c:pt>
                <c:pt idx="4">
                  <c:v>2.206736614236454</c:v>
                </c:pt>
                <c:pt idx="5">
                  <c:v>1.9852929852798282</c:v>
                </c:pt>
                <c:pt idx="6">
                  <c:v>2.0908439101275911</c:v>
                </c:pt>
                <c:pt idx="7">
                  <c:v>1.8297411220239639</c:v>
                </c:pt>
                <c:pt idx="8">
                  <c:v>3.3478325840102872</c:v>
                </c:pt>
                <c:pt idx="9">
                  <c:v>0.77476813138737477</c:v>
                </c:pt>
                <c:pt idx="10">
                  <c:v>1.5255160211824812</c:v>
                </c:pt>
                <c:pt idx="11">
                  <c:v>2.7806327287932624</c:v>
                </c:pt>
                <c:pt idx="12">
                  <c:v>3.0413633322676414</c:v>
                </c:pt>
                <c:pt idx="13">
                  <c:v>1.2199934227430793</c:v>
                </c:pt>
                <c:pt idx="14">
                  <c:v>0.24104742982676894</c:v>
                </c:pt>
                <c:pt idx="15">
                  <c:v>3.8790399657907502E-2</c:v>
                </c:pt>
                <c:pt idx="16">
                  <c:v>-9.4016656915623803E-2</c:v>
                </c:pt>
                <c:pt idx="17">
                  <c:v>1.2265331664570709</c:v>
                </c:pt>
                <c:pt idx="18">
                  <c:v>1.1374876360049573</c:v>
                </c:pt>
                <c:pt idx="19">
                  <c:v>0.61124694376528121</c:v>
                </c:pt>
                <c:pt idx="20">
                  <c:v>-0.137707573916896</c:v>
                </c:pt>
                <c:pt idx="21">
                  <c:v>1.873783257624936</c:v>
                </c:pt>
                <c:pt idx="22">
                  <c:v>8.2012899116168754</c:v>
                </c:pt>
                <c:pt idx="23">
                  <c:v>5.6221944219592528</c:v>
                </c:pt>
                <c:pt idx="24">
                  <c:v>0.98237302306139318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04C-4670-A5DE-E2293EB23DCC}"/>
            </c:ext>
          </c:extLst>
        </c:ser>
        <c:ser>
          <c:idx val="4"/>
          <c:order val="4"/>
          <c:tx>
            <c:strRef>
              <c:f>Comaprison!$F$130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Comaprison!$F$131:$F$155</c:f>
              <c:numCache>
                <c:formatCode>0.00;[Red]0.00</c:formatCode>
                <c:ptCount val="25"/>
                <c:pt idx="0">
                  <c:v>0</c:v>
                </c:pt>
                <c:pt idx="1">
                  <c:v>1.6347807954960558</c:v>
                </c:pt>
                <c:pt idx="2">
                  <c:v>1.9234122872706019</c:v>
                </c:pt>
                <c:pt idx="3">
                  <c:v>2.0984721914692299</c:v>
                </c:pt>
                <c:pt idx="4">
                  <c:v>2.1420896464023653</c:v>
                </c:pt>
                <c:pt idx="5">
                  <c:v>1.7458693638048279</c:v>
                </c:pt>
                <c:pt idx="6">
                  <c:v>1.6751244960873126</c:v>
                </c:pt>
                <c:pt idx="7">
                  <c:v>1.4879980595386118</c:v>
                </c:pt>
                <c:pt idx="8">
                  <c:v>2.8128619491477553</c:v>
                </c:pt>
                <c:pt idx="9">
                  <c:v>8.7620478157508896E-2</c:v>
                </c:pt>
                <c:pt idx="10">
                  <c:v>1.5311227042093183</c:v>
                </c:pt>
                <c:pt idx="11">
                  <c:v>2.1115979517499865</c:v>
                </c:pt>
                <c:pt idx="12">
                  <c:v>1.9541953161350365</c:v>
                </c:pt>
                <c:pt idx="13">
                  <c:v>0.86371549786177437</c:v>
                </c:pt>
                <c:pt idx="14">
                  <c:v>0.50775882293795871</c:v>
                </c:pt>
                <c:pt idx="15">
                  <c:v>3.7514380512524141E-2</c:v>
                </c:pt>
                <c:pt idx="16">
                  <c:v>0.18333486112391767</c:v>
                </c:pt>
                <c:pt idx="17">
                  <c:v>1.032282750646067</c:v>
                </c:pt>
                <c:pt idx="18">
                  <c:v>1.8508150831556218</c:v>
                </c:pt>
                <c:pt idx="19">
                  <c:v>1.1082549228829162</c:v>
                </c:pt>
                <c:pt idx="20">
                  <c:v>0.47649885272443987</c:v>
                </c:pt>
                <c:pt idx="21">
                  <c:v>1.6423314103839362</c:v>
                </c:pt>
                <c:pt idx="22">
                  <c:v>5.2223674836975684</c:v>
                </c:pt>
                <c:pt idx="23">
                  <c:v>4.8783572650838654</c:v>
                </c:pt>
                <c:pt idx="24">
                  <c:v>1.999049422915165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04C-4670-A5DE-E2293EB23DCC}"/>
            </c:ext>
          </c:extLst>
        </c:ser>
        <c:ser>
          <c:idx val="5"/>
          <c:order val="5"/>
          <c:tx>
            <c:strRef>
              <c:f>Comaprison!$G$130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Comaprison!$G$131:$G$155</c:f>
              <c:numCache>
                <c:formatCode>0.00;[Red]0.00</c:formatCode>
                <c:ptCount val="25"/>
                <c:pt idx="0">
                  <c:v>0</c:v>
                </c:pt>
                <c:pt idx="1">
                  <c:v>-0.74005550416274324</c:v>
                </c:pt>
                <c:pt idx="2">
                  <c:v>-0.92349402694231064</c:v>
                </c:pt>
                <c:pt idx="3">
                  <c:v>-0.25654181631602785</c:v>
                </c:pt>
                <c:pt idx="4">
                  <c:v>-8.5733882031078928E-3</c:v>
                </c:pt>
                <c:pt idx="5">
                  <c:v>-0.28294606876438583</c:v>
                </c:pt>
                <c:pt idx="6">
                  <c:v>0.24935511607908617</c:v>
                </c:pt>
                <c:pt idx="7">
                  <c:v>6.0039454498657774E-2</c:v>
                </c:pt>
                <c:pt idx="8">
                  <c:v>1.3800788616491921</c:v>
                </c:pt>
                <c:pt idx="9">
                  <c:v>-1.3528367295171746</c:v>
                </c:pt>
                <c:pt idx="10">
                  <c:v>-0.72824320751777527</c:v>
                </c:pt>
                <c:pt idx="11">
                  <c:v>-0.27245561610124008</c:v>
                </c:pt>
                <c:pt idx="12">
                  <c:v>-4.4064510443258167E-2</c:v>
                </c:pt>
                <c:pt idx="13">
                  <c:v>0.33503791218474566</c:v>
                </c:pt>
                <c:pt idx="14">
                  <c:v>2.7592267135325215</c:v>
                </c:pt>
                <c:pt idx="15">
                  <c:v>0.79527963057983286</c:v>
                </c:pt>
                <c:pt idx="16">
                  <c:v>-0.12725884448975933</c:v>
                </c:pt>
                <c:pt idx="17">
                  <c:v>0.48419979612638764</c:v>
                </c:pt>
                <c:pt idx="18">
                  <c:v>0.98909459802185318</c:v>
                </c:pt>
                <c:pt idx="19">
                  <c:v>0.46877615938393663</c:v>
                </c:pt>
                <c:pt idx="20">
                  <c:v>-2.49958340277311E-2</c:v>
                </c:pt>
                <c:pt idx="21">
                  <c:v>-0.23335277939826252</c:v>
                </c:pt>
                <c:pt idx="22">
                  <c:v>2.4977027817225492</c:v>
                </c:pt>
                <c:pt idx="23">
                  <c:v>3.2681336593316339</c:v>
                </c:pt>
                <c:pt idx="24">
                  <c:v>2.7385368163524064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04C-4670-A5DE-E2293EB23DCC}"/>
            </c:ext>
          </c:extLst>
        </c:ser>
        <c:ser>
          <c:idx val="6"/>
          <c:order val="6"/>
          <c:tx>
            <c:strRef>
              <c:f>Comaprison!$H$130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Comaprison!$A$131:$A$155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Comaprison!$H$131:$H$155</c:f>
              <c:numCache>
                <c:formatCode>0.00;[Red]0.00</c:formatCode>
                <c:ptCount val="25"/>
                <c:pt idx="0">
                  <c:v>0</c:v>
                </c:pt>
                <c:pt idx="1">
                  <c:v>1.5323496027241785</c:v>
                </c:pt>
                <c:pt idx="2">
                  <c:v>1.52040245947452</c:v>
                </c:pt>
                <c:pt idx="3">
                  <c:v>1.3765003854201536</c:v>
                </c:pt>
                <c:pt idx="4">
                  <c:v>1.3903975668043098</c:v>
                </c:pt>
                <c:pt idx="5">
                  <c:v>2.0891364902506973</c:v>
                </c:pt>
                <c:pt idx="6">
                  <c:v>2.4556616643929106</c:v>
                </c:pt>
                <c:pt idx="7">
                  <c:v>2.3865615077331879</c:v>
                </c:pt>
                <c:pt idx="8">
                  <c:v>3.5214085634254642</c:v>
                </c:pt>
                <c:pt idx="9">
                  <c:v>1.9617317356009962</c:v>
                </c:pt>
                <c:pt idx="10">
                  <c:v>2.4926547246706945</c:v>
                </c:pt>
                <c:pt idx="11">
                  <c:v>3.856112446828182</c:v>
                </c:pt>
                <c:pt idx="12">
                  <c:v>2.5732347965453521</c:v>
                </c:pt>
                <c:pt idx="13">
                  <c:v>2.2916666666666696</c:v>
                </c:pt>
                <c:pt idx="14">
                  <c:v>1.4511201629327872</c:v>
                </c:pt>
                <c:pt idx="15">
                  <c:v>0.36804684232532314</c:v>
                </c:pt>
                <c:pt idx="16">
                  <c:v>1.0084173681140736</c:v>
                </c:pt>
                <c:pt idx="17">
                  <c:v>2.5577557755772298</c:v>
                </c:pt>
                <c:pt idx="18">
                  <c:v>2.29283990345938</c:v>
                </c:pt>
                <c:pt idx="19">
                  <c:v>1.7381046008644967</c:v>
                </c:pt>
                <c:pt idx="20">
                  <c:v>0.98948670377274006</c:v>
                </c:pt>
                <c:pt idx="21">
                  <c:v>2.5183710961423791</c:v>
                </c:pt>
                <c:pt idx="22">
                  <c:v>7.9220488314794624</c:v>
                </c:pt>
                <c:pt idx="23">
                  <c:v>6.793967067939402</c:v>
                </c:pt>
                <c:pt idx="24">
                  <c:v>3.271572946358889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04C-4670-A5DE-E2293EB23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820810"/>
        <c:axId val="85865172"/>
      </c:lineChart>
      <c:catAx>
        <c:axId val="47820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85865172"/>
        <c:crosses val="autoZero"/>
        <c:auto val="1"/>
        <c:lblAlgn val="ctr"/>
        <c:lblOffset val="100"/>
        <c:noMultiLvlLbl val="0"/>
      </c:catAx>
      <c:valAx>
        <c:axId val="858651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7820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Average Absolute Gap: CPI Inflation vs GDP Deflator Inflation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Comaprison!$B$167</c:f>
              <c:strCache>
                <c:ptCount val="1"/>
                <c:pt idx="0">
                  <c:v>Avg |CPI Inflation - Deflator Inflation| (pp)</c:v>
                </c:pt>
              </c:strCache>
            </c:strRef>
          </c:tx>
          <c:spPr>
            <a:solidFill>
              <a:srgbClr val="4472C4"/>
            </a:solidFill>
            <a:ln w="12600">
              <a:solidFill>
                <a:srgbClr val="4472C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4472C4"/>
                      </a:solidFill>
                    </a:ln>
                  </c:spPr>
                </c15:leaderLines>
              </c:ext>
            </c:extLst>
          </c:dLbls>
          <c:cat>
            <c:strRef>
              <c:f>Comaprison!$A$168:$A$175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Comaprison!$B$168:$B$175</c:f>
              <c:numCache>
                <c:formatCode>General</c:formatCode>
                <c:ptCount val="8"/>
                <c:pt idx="0">
                  <c:v>0.42240939633996866</c:v>
                </c:pt>
                <c:pt idx="1">
                  <c:v>0.76386575615231489</c:v>
                </c:pt>
                <c:pt idx="2">
                  <c:v>1.6503994495072778</c:v>
                </c:pt>
                <c:pt idx="3">
                  <c:v>0.86245047653229301</c:v>
                </c:pt>
                <c:pt idx="4">
                  <c:v>0.58509834271244177</c:v>
                </c:pt>
                <c:pt idx="5">
                  <c:v>0.9790884025569172</c:v>
                </c:pt>
                <c:pt idx="6">
                  <c:v>0.87946539824909864</c:v>
                </c:pt>
                <c:pt idx="7">
                  <c:v>6.4775892775708099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4-424A-9CAE-5912CB6DB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63078"/>
        <c:axId val="54532670"/>
      </c:barChart>
      <c:catAx>
        <c:axId val="640630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54532670"/>
        <c:crosses val="autoZero"/>
        <c:auto val="1"/>
        <c:lblAlgn val="ctr"/>
        <c:lblOffset val="100"/>
        <c:noMultiLvlLbl val="0"/>
      </c:catAx>
      <c:valAx>
        <c:axId val="545326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4063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Unemployment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Comaprison!$B$195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Comaprison!$B$196:$B$220</c:f>
              <c:numCache>
                <c:formatCode>0.00;[Red]0.00</c:formatCode>
                <c:ptCount val="25"/>
                <c:pt idx="0">
                  <c:v>4</c:v>
                </c:pt>
                <c:pt idx="1">
                  <c:v>4.7</c:v>
                </c:pt>
                <c:pt idx="2">
                  <c:v>5.8</c:v>
                </c:pt>
                <c:pt idx="3">
                  <c:v>6</c:v>
                </c:pt>
                <c:pt idx="4">
                  <c:v>5.5</c:v>
                </c:pt>
                <c:pt idx="5">
                  <c:v>5.0999999999999996</c:v>
                </c:pt>
                <c:pt idx="6">
                  <c:v>4.5999999999999996</c:v>
                </c:pt>
                <c:pt idx="7">
                  <c:v>4.5999999999999996</c:v>
                </c:pt>
                <c:pt idx="8">
                  <c:v>5.8</c:v>
                </c:pt>
                <c:pt idx="9">
                  <c:v>9.3000000000000007</c:v>
                </c:pt>
                <c:pt idx="10">
                  <c:v>9.6</c:v>
                </c:pt>
                <c:pt idx="11">
                  <c:v>8.9</c:v>
                </c:pt>
                <c:pt idx="12">
                  <c:v>8.1</c:v>
                </c:pt>
                <c:pt idx="13">
                  <c:v>7.4</c:v>
                </c:pt>
                <c:pt idx="14">
                  <c:v>6.2</c:v>
                </c:pt>
                <c:pt idx="15">
                  <c:v>5.3</c:v>
                </c:pt>
                <c:pt idx="16">
                  <c:v>4.9000000000000004</c:v>
                </c:pt>
                <c:pt idx="17">
                  <c:v>4.4000000000000004</c:v>
                </c:pt>
                <c:pt idx="18">
                  <c:v>3.9</c:v>
                </c:pt>
                <c:pt idx="19">
                  <c:v>3.7</c:v>
                </c:pt>
                <c:pt idx="20">
                  <c:v>8.1</c:v>
                </c:pt>
                <c:pt idx="21">
                  <c:v>5.4</c:v>
                </c:pt>
                <c:pt idx="22">
                  <c:v>3.7</c:v>
                </c:pt>
                <c:pt idx="23">
                  <c:v>3.6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3-4A45-9415-99945F3315A4}"/>
            </c:ext>
          </c:extLst>
        </c:ser>
        <c:ser>
          <c:idx val="1"/>
          <c:order val="1"/>
          <c:tx>
            <c:strRef>
              <c:f>Comaprison!$C$195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Comaprison!$C$196:$C$220</c:f>
              <c:numCache>
                <c:formatCode>General</c:formatCode>
                <c:ptCount val="25"/>
                <c:pt idx="0">
                  <c:v>8</c:v>
                </c:pt>
                <c:pt idx="1">
                  <c:v>7.8</c:v>
                </c:pt>
                <c:pt idx="2">
                  <c:v>8.6</c:v>
                </c:pt>
                <c:pt idx="3">
                  <c:v>9.6999999999999993</c:v>
                </c:pt>
                <c:pt idx="4">
                  <c:v>10.3</c:v>
                </c:pt>
                <c:pt idx="5">
                  <c:v>11</c:v>
                </c:pt>
                <c:pt idx="6">
                  <c:v>10.1</c:v>
                </c:pt>
                <c:pt idx="7">
                  <c:v>8.6</c:v>
                </c:pt>
                <c:pt idx="8">
                  <c:v>7.4</c:v>
                </c:pt>
                <c:pt idx="9">
                  <c:v>7.4</c:v>
                </c:pt>
                <c:pt idx="10">
                  <c:v>6.6</c:v>
                </c:pt>
                <c:pt idx="11">
                  <c:v>5.5</c:v>
                </c:pt>
                <c:pt idx="12">
                  <c:v>5.0999999999999996</c:v>
                </c:pt>
                <c:pt idx="13">
                  <c:v>4.9000000000000004</c:v>
                </c:pt>
                <c:pt idx="14">
                  <c:v>4.7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3.2</c:v>
                </c:pt>
                <c:pt idx="19">
                  <c:v>3</c:v>
                </c:pt>
                <c:pt idx="20">
                  <c:v>3.7</c:v>
                </c:pt>
                <c:pt idx="21">
                  <c:v>3.6</c:v>
                </c:pt>
                <c:pt idx="22">
                  <c:v>3.1</c:v>
                </c:pt>
                <c:pt idx="23">
                  <c:v>3.1</c:v>
                </c:pt>
                <c:pt idx="24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3-4A45-9415-99945F3315A4}"/>
            </c:ext>
          </c:extLst>
        </c:ser>
        <c:ser>
          <c:idx val="2"/>
          <c:order val="2"/>
          <c:tx>
            <c:strRef>
              <c:f>Comaprison!$D$195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Comaprison!$D$196:$D$220</c:f>
              <c:numCache>
                <c:formatCode>General</c:formatCode>
                <c:ptCount val="25"/>
                <c:pt idx="0">
                  <c:v>6.84</c:v>
                </c:pt>
                <c:pt idx="1">
                  <c:v>7.9939999999999998</c:v>
                </c:pt>
                <c:pt idx="2">
                  <c:v>8.9190000000000005</c:v>
                </c:pt>
                <c:pt idx="3">
                  <c:v>9.6240000000000006</c:v>
                </c:pt>
                <c:pt idx="4">
                  <c:v>9.4329999999999998</c:v>
                </c:pt>
                <c:pt idx="5">
                  <c:v>9.4949999999999992</c:v>
                </c:pt>
                <c:pt idx="6">
                  <c:v>9.3309999999999995</c:v>
                </c:pt>
                <c:pt idx="7">
                  <c:v>9.2240000000000002</c:v>
                </c:pt>
                <c:pt idx="8">
                  <c:v>9.8030000000000008</c:v>
                </c:pt>
                <c:pt idx="9">
                  <c:v>10.15</c:v>
                </c:pt>
                <c:pt idx="10">
                  <c:v>9.8230000000000004</c:v>
                </c:pt>
                <c:pt idx="11">
                  <c:v>9.9760000000000009</c:v>
                </c:pt>
                <c:pt idx="12">
                  <c:v>10.154</c:v>
                </c:pt>
                <c:pt idx="13">
                  <c:v>10.316000000000001</c:v>
                </c:pt>
                <c:pt idx="14">
                  <c:v>10.507</c:v>
                </c:pt>
                <c:pt idx="15">
                  <c:v>10.68</c:v>
                </c:pt>
                <c:pt idx="16">
                  <c:v>10.574</c:v>
                </c:pt>
                <c:pt idx="17">
                  <c:v>10.430999999999999</c:v>
                </c:pt>
                <c:pt idx="18">
                  <c:v>9.6739999999999995</c:v>
                </c:pt>
                <c:pt idx="19">
                  <c:v>10.680999999999999</c:v>
                </c:pt>
                <c:pt idx="20">
                  <c:v>12.65</c:v>
                </c:pt>
                <c:pt idx="21">
                  <c:v>12.404</c:v>
                </c:pt>
                <c:pt idx="22">
                  <c:v>14.673</c:v>
                </c:pt>
                <c:pt idx="23">
                  <c:v>15.561999999999999</c:v>
                </c:pt>
                <c:pt idx="24">
                  <c:v>15.044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F3-4A45-9415-99945F3315A4}"/>
            </c:ext>
          </c:extLst>
        </c:ser>
        <c:ser>
          <c:idx val="3"/>
          <c:order val="3"/>
          <c:tx>
            <c:strRef>
              <c:f>Comaprison!$E$195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Comaprison!$E$196:$E$220</c:f>
              <c:numCache>
                <c:formatCode>General</c:formatCode>
                <c:ptCount val="25"/>
                <c:pt idx="0">
                  <c:v>10.1</c:v>
                </c:pt>
                <c:pt idx="1">
                  <c:v>9.1</c:v>
                </c:pt>
                <c:pt idx="2">
                  <c:v>8.6</c:v>
                </c:pt>
                <c:pt idx="3">
                  <c:v>8.5</c:v>
                </c:pt>
                <c:pt idx="4">
                  <c:v>8</c:v>
                </c:pt>
                <c:pt idx="5">
                  <c:v>7.8</c:v>
                </c:pt>
                <c:pt idx="6">
                  <c:v>6.9</c:v>
                </c:pt>
                <c:pt idx="7">
                  <c:v>6.2</c:v>
                </c:pt>
                <c:pt idx="8">
                  <c:v>6.8</c:v>
                </c:pt>
                <c:pt idx="9">
                  <c:v>7.9</c:v>
                </c:pt>
                <c:pt idx="10">
                  <c:v>8.5</c:v>
                </c:pt>
                <c:pt idx="11">
                  <c:v>8.6</c:v>
                </c:pt>
                <c:pt idx="12">
                  <c:v>10.9</c:v>
                </c:pt>
                <c:pt idx="13">
                  <c:v>12.4</c:v>
                </c:pt>
                <c:pt idx="14">
                  <c:v>12.8</c:v>
                </c:pt>
                <c:pt idx="15">
                  <c:v>12</c:v>
                </c:pt>
                <c:pt idx="16">
                  <c:v>11.7</c:v>
                </c:pt>
                <c:pt idx="17">
                  <c:v>11.3</c:v>
                </c:pt>
                <c:pt idx="18">
                  <c:v>10.6</c:v>
                </c:pt>
                <c:pt idx="19">
                  <c:v>9.9</c:v>
                </c:pt>
                <c:pt idx="20">
                  <c:v>9.4</c:v>
                </c:pt>
                <c:pt idx="21">
                  <c:v>9.6</c:v>
                </c:pt>
                <c:pt idx="22">
                  <c:v>8.1</c:v>
                </c:pt>
                <c:pt idx="23">
                  <c:v>7.7</c:v>
                </c:pt>
                <c:pt idx="24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F3-4A45-9415-99945F3315A4}"/>
            </c:ext>
          </c:extLst>
        </c:ser>
        <c:ser>
          <c:idx val="4"/>
          <c:order val="4"/>
          <c:tx>
            <c:strRef>
              <c:f>Comaprison!$F$195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Comaprison!$F$196:$F$220</c:f>
              <c:numCache>
                <c:formatCode>General</c:formatCode>
                <c:ptCount val="25"/>
                <c:pt idx="0">
                  <c:v>9.1999999999999993</c:v>
                </c:pt>
                <c:pt idx="1">
                  <c:v>8.5</c:v>
                </c:pt>
                <c:pt idx="2">
                  <c:v>8.3000000000000007</c:v>
                </c:pt>
                <c:pt idx="3">
                  <c:v>8.5</c:v>
                </c:pt>
                <c:pt idx="4">
                  <c:v>8.9</c:v>
                </c:pt>
                <c:pt idx="5">
                  <c:v>8.9</c:v>
                </c:pt>
                <c:pt idx="6">
                  <c:v>8.9</c:v>
                </c:pt>
                <c:pt idx="7">
                  <c:v>8</c:v>
                </c:pt>
                <c:pt idx="8">
                  <c:v>7.4</c:v>
                </c:pt>
                <c:pt idx="9">
                  <c:v>9.1</c:v>
                </c:pt>
                <c:pt idx="10">
                  <c:v>9.3000000000000007</c:v>
                </c:pt>
                <c:pt idx="11">
                  <c:v>9.1999999999999993</c:v>
                </c:pt>
                <c:pt idx="12">
                  <c:v>9.8000000000000007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10.1</c:v>
                </c:pt>
                <c:pt idx="17">
                  <c:v>9.4</c:v>
                </c:pt>
                <c:pt idx="18">
                  <c:v>9</c:v>
                </c:pt>
                <c:pt idx="19">
                  <c:v>8.4</c:v>
                </c:pt>
                <c:pt idx="20">
                  <c:v>8</c:v>
                </c:pt>
                <c:pt idx="21">
                  <c:v>7.9</c:v>
                </c:pt>
                <c:pt idx="22">
                  <c:v>7.3</c:v>
                </c:pt>
                <c:pt idx="23">
                  <c:v>7.3</c:v>
                </c:pt>
                <c:pt idx="24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F3-4A45-9415-99945F3315A4}"/>
            </c:ext>
          </c:extLst>
        </c:ser>
        <c:ser>
          <c:idx val="5"/>
          <c:order val="5"/>
          <c:tx>
            <c:strRef>
              <c:f>Comaprison!$G$195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Comaprison!$G$196:$G$220</c:f>
              <c:numCache>
                <c:formatCode>General</c:formatCode>
                <c:ptCount val="25"/>
                <c:pt idx="0">
                  <c:v>4.7</c:v>
                </c:pt>
                <c:pt idx="1">
                  <c:v>5</c:v>
                </c:pt>
                <c:pt idx="2">
                  <c:v>5.4</c:v>
                </c:pt>
                <c:pt idx="3">
                  <c:v>5.2</c:v>
                </c:pt>
                <c:pt idx="4">
                  <c:v>4.7</c:v>
                </c:pt>
                <c:pt idx="5">
                  <c:v>4.4000000000000004</c:v>
                </c:pt>
                <c:pt idx="6">
                  <c:v>4.0999999999999996</c:v>
                </c:pt>
                <c:pt idx="7">
                  <c:v>3.8</c:v>
                </c:pt>
                <c:pt idx="8">
                  <c:v>4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4.5999999999999996</c:v>
                </c:pt>
                <c:pt idx="12">
                  <c:v>4.3</c:v>
                </c:pt>
                <c:pt idx="13">
                  <c:v>4</c:v>
                </c:pt>
                <c:pt idx="14">
                  <c:v>3.6</c:v>
                </c:pt>
                <c:pt idx="15">
                  <c:v>3.4</c:v>
                </c:pt>
                <c:pt idx="16">
                  <c:v>3.1</c:v>
                </c:pt>
                <c:pt idx="17">
                  <c:v>2.8</c:v>
                </c:pt>
                <c:pt idx="18">
                  <c:v>2.4</c:v>
                </c:pt>
                <c:pt idx="19">
                  <c:v>2.4</c:v>
                </c:pt>
                <c:pt idx="20">
                  <c:v>2.8</c:v>
                </c:pt>
                <c:pt idx="21">
                  <c:v>2.8</c:v>
                </c:pt>
                <c:pt idx="22">
                  <c:v>2.6</c:v>
                </c:pt>
                <c:pt idx="23">
                  <c:v>2.6</c:v>
                </c:pt>
                <c:pt idx="24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F3-4A45-9415-99945F3315A4}"/>
            </c:ext>
          </c:extLst>
        </c:ser>
        <c:ser>
          <c:idx val="6"/>
          <c:order val="6"/>
          <c:tx>
            <c:strRef>
              <c:f>Comaprison!$H$195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Comaprison!$H$196:$H$220</c:f>
              <c:numCache>
                <c:formatCode>General</c:formatCode>
                <c:ptCount val="25"/>
                <c:pt idx="0">
                  <c:v>5.5</c:v>
                </c:pt>
                <c:pt idx="1">
                  <c:v>5.0999999999999996</c:v>
                </c:pt>
                <c:pt idx="2">
                  <c:v>5.2</c:v>
                </c:pt>
                <c:pt idx="3">
                  <c:v>5</c:v>
                </c:pt>
                <c:pt idx="4">
                  <c:v>4.8</c:v>
                </c:pt>
                <c:pt idx="5">
                  <c:v>4.8</c:v>
                </c:pt>
                <c:pt idx="6">
                  <c:v>5.4</c:v>
                </c:pt>
                <c:pt idx="7">
                  <c:v>5.3</c:v>
                </c:pt>
                <c:pt idx="8">
                  <c:v>5.7</c:v>
                </c:pt>
                <c:pt idx="9">
                  <c:v>7.6</c:v>
                </c:pt>
                <c:pt idx="10">
                  <c:v>7.9</c:v>
                </c:pt>
                <c:pt idx="11">
                  <c:v>8.1</c:v>
                </c:pt>
                <c:pt idx="12">
                  <c:v>8</c:v>
                </c:pt>
                <c:pt idx="13">
                  <c:v>7.6</c:v>
                </c:pt>
                <c:pt idx="14">
                  <c:v>6.2</c:v>
                </c:pt>
                <c:pt idx="15">
                  <c:v>5.4</c:v>
                </c:pt>
                <c:pt idx="16">
                  <c:v>4.9000000000000004</c:v>
                </c:pt>
                <c:pt idx="17">
                  <c:v>4.4000000000000004</c:v>
                </c:pt>
                <c:pt idx="18">
                  <c:v>4.0999999999999996</c:v>
                </c:pt>
                <c:pt idx="19">
                  <c:v>3.9</c:v>
                </c:pt>
                <c:pt idx="20">
                  <c:v>4.5999999999999996</c:v>
                </c:pt>
                <c:pt idx="21">
                  <c:v>4.5</c:v>
                </c:pt>
                <c:pt idx="22">
                  <c:v>3.8</c:v>
                </c:pt>
                <c:pt idx="23">
                  <c:v>4.0999999999999996</c:v>
                </c:pt>
                <c:pt idx="24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F3-4A45-9415-99945F3315A4}"/>
            </c:ext>
          </c:extLst>
        </c:ser>
        <c:ser>
          <c:idx val="7"/>
          <c:order val="7"/>
          <c:tx>
            <c:strRef>
              <c:f>Comaprison!$I$195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Comaprison!$A$196:$A$220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Comaprison!$I$196:$I$220</c:f>
              <c:numCache>
                <c:formatCode>0.00;[Red]0.00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11.574999999999999</c:v>
                </c:pt>
                <c:pt idx="6">
                  <c:v>11.35</c:v>
                </c:pt>
                <c:pt idx="7">
                  <c:v>10.6</c:v>
                </c:pt>
                <c:pt idx="8">
                  <c:v>10.475</c:v>
                </c:pt>
                <c:pt idx="9">
                  <c:v>12.025</c:v>
                </c:pt>
                <c:pt idx="10">
                  <c:v>13.525</c:v>
                </c:pt>
                <c:pt idx="11">
                  <c:v>12.324999999999999</c:v>
                </c:pt>
                <c:pt idx="12">
                  <c:v>12.15</c:v>
                </c:pt>
                <c:pt idx="13">
                  <c:v>10.45</c:v>
                </c:pt>
                <c:pt idx="14">
                  <c:v>10.55</c:v>
                </c:pt>
                <c:pt idx="15">
                  <c:v>11.05</c:v>
                </c:pt>
                <c:pt idx="16">
                  <c:v>12.425000000000001</c:v>
                </c:pt>
                <c:pt idx="17">
                  <c:v>12.1</c:v>
                </c:pt>
                <c:pt idx="18">
                  <c:v>12.05</c:v>
                </c:pt>
                <c:pt idx="19">
                  <c:v>10.65</c:v>
                </c:pt>
                <c:pt idx="20">
                  <c:v>9.609</c:v>
                </c:pt>
                <c:pt idx="21">
                  <c:v>9.1790000000000003</c:v>
                </c:pt>
                <c:pt idx="22">
                  <c:v>9</c:v>
                </c:pt>
                <c:pt idx="23">
                  <c:v>8.0749999999999993</c:v>
                </c:pt>
                <c:pt idx="24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F3-4A45-9415-99945F33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070366"/>
        <c:axId val="44778049"/>
      </c:lineChart>
      <c:catAx>
        <c:axId val="14070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4778049"/>
        <c:crosses val="autoZero"/>
        <c:auto val="1"/>
        <c:lblAlgn val="ctr"/>
        <c:lblOffset val="100"/>
        <c:noMultiLvlLbl val="0"/>
      </c:catAx>
      <c:valAx>
        <c:axId val="447780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140703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Unemployment Gap (pp)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Comaprison!$B$224</c:f>
              <c:strCache>
                <c:ptCount val="1"/>
                <c:pt idx="0">
                  <c:v>USA</c:v>
                </c:pt>
              </c:strCache>
            </c:strRef>
          </c:tx>
          <c:spPr>
            <a:ln w="25560">
              <a:solidFill>
                <a:srgbClr val="4472C4"/>
              </a:solidFill>
              <a:round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Comaprison!$B$225:$B$249</c:f>
              <c:numCache>
                <c:formatCode>0.00;[Red]0.00</c:formatCode>
                <c:ptCount val="25"/>
                <c:pt idx="0">
                  <c:v>-1.7039999999999997</c:v>
                </c:pt>
                <c:pt idx="1">
                  <c:v>-1.0039999999999996</c:v>
                </c:pt>
                <c:pt idx="2">
                  <c:v>9.6000000000000085E-2</c:v>
                </c:pt>
                <c:pt idx="3">
                  <c:v>0.29600000000000026</c:v>
                </c:pt>
                <c:pt idx="4">
                  <c:v>-0.20399999999999974</c:v>
                </c:pt>
                <c:pt idx="5">
                  <c:v>-0.60400000000000009</c:v>
                </c:pt>
                <c:pt idx="6">
                  <c:v>-1.1040000000000001</c:v>
                </c:pt>
                <c:pt idx="7">
                  <c:v>-1.1040000000000001</c:v>
                </c:pt>
                <c:pt idx="8">
                  <c:v>9.6000000000000085E-2</c:v>
                </c:pt>
                <c:pt idx="9">
                  <c:v>3.596000000000001</c:v>
                </c:pt>
                <c:pt idx="10">
                  <c:v>3.8959999999999999</c:v>
                </c:pt>
                <c:pt idx="11">
                  <c:v>3.1960000000000006</c:v>
                </c:pt>
                <c:pt idx="12">
                  <c:v>2.3959999999999999</c:v>
                </c:pt>
                <c:pt idx="13">
                  <c:v>1.6960000000000006</c:v>
                </c:pt>
                <c:pt idx="14">
                  <c:v>0.49600000000000044</c:v>
                </c:pt>
                <c:pt idx="15">
                  <c:v>-0.40399999999999991</c:v>
                </c:pt>
                <c:pt idx="16">
                  <c:v>-0.80399999999999938</c:v>
                </c:pt>
                <c:pt idx="17">
                  <c:v>-1.3039999999999994</c:v>
                </c:pt>
                <c:pt idx="18">
                  <c:v>-1.8039999999999998</c:v>
                </c:pt>
                <c:pt idx="19">
                  <c:v>-2.0039999999999996</c:v>
                </c:pt>
                <c:pt idx="20">
                  <c:v>2.3959999999999999</c:v>
                </c:pt>
                <c:pt idx="21">
                  <c:v>-0.30399999999999938</c:v>
                </c:pt>
                <c:pt idx="22">
                  <c:v>-2.0039999999999996</c:v>
                </c:pt>
                <c:pt idx="23">
                  <c:v>-2.1039999999999996</c:v>
                </c:pt>
                <c:pt idx="24">
                  <c:v>-1.7039999999999997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1-47CB-A6D2-87649A984278}"/>
            </c:ext>
          </c:extLst>
        </c:ser>
        <c:ser>
          <c:idx val="1"/>
          <c:order val="1"/>
          <c:tx>
            <c:strRef>
              <c:f>Comaprison!$C$224</c:f>
              <c:strCache>
                <c:ptCount val="1"/>
                <c:pt idx="0">
                  <c:v>GERMANY</c:v>
                </c:pt>
              </c:strCache>
            </c:strRef>
          </c:tx>
          <c:spPr>
            <a:ln w="25560">
              <a:solidFill>
                <a:srgbClr val="ED7D31"/>
              </a:solidFill>
              <a:round/>
            </a:ln>
          </c:spPr>
          <c:marker>
            <c:symbol val="circle"/>
            <c:size val="4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Comaprison!$C$225:$C$249</c:f>
              <c:numCache>
                <c:formatCode>0.00</c:formatCode>
                <c:ptCount val="25"/>
                <c:pt idx="0">
                  <c:v>1.9760000000000018</c:v>
                </c:pt>
                <c:pt idx="1">
                  <c:v>1.7760000000000016</c:v>
                </c:pt>
                <c:pt idx="2">
                  <c:v>2.5760000000000014</c:v>
                </c:pt>
                <c:pt idx="3">
                  <c:v>3.676000000000001</c:v>
                </c:pt>
                <c:pt idx="4">
                  <c:v>4.2760000000000025</c:v>
                </c:pt>
                <c:pt idx="5">
                  <c:v>4.9760000000000018</c:v>
                </c:pt>
                <c:pt idx="6">
                  <c:v>4.0760000000000014</c:v>
                </c:pt>
                <c:pt idx="7">
                  <c:v>2.5760000000000014</c:v>
                </c:pt>
                <c:pt idx="8">
                  <c:v>1.3760000000000021</c:v>
                </c:pt>
                <c:pt idx="9">
                  <c:v>1.3760000000000021</c:v>
                </c:pt>
                <c:pt idx="10">
                  <c:v>0.5760000000000014</c:v>
                </c:pt>
                <c:pt idx="11">
                  <c:v>-0.52399999999999824</c:v>
                </c:pt>
                <c:pt idx="12">
                  <c:v>-0.9239999999999986</c:v>
                </c:pt>
                <c:pt idx="13">
                  <c:v>-1.1239999999999979</c:v>
                </c:pt>
                <c:pt idx="14">
                  <c:v>-1.3239999999999981</c:v>
                </c:pt>
                <c:pt idx="15">
                  <c:v>-1.6239999999999979</c:v>
                </c:pt>
                <c:pt idx="16">
                  <c:v>-2.1239999999999983</c:v>
                </c:pt>
                <c:pt idx="17">
                  <c:v>-2.5239999999999982</c:v>
                </c:pt>
                <c:pt idx="18">
                  <c:v>-2.8239999999999981</c:v>
                </c:pt>
                <c:pt idx="19">
                  <c:v>-3.0239999999999982</c:v>
                </c:pt>
                <c:pt idx="20">
                  <c:v>-2.3239999999999981</c:v>
                </c:pt>
                <c:pt idx="21">
                  <c:v>-2.4239999999999982</c:v>
                </c:pt>
                <c:pt idx="22">
                  <c:v>-2.9239999999999982</c:v>
                </c:pt>
                <c:pt idx="23">
                  <c:v>-2.9239999999999982</c:v>
                </c:pt>
                <c:pt idx="24">
                  <c:v>-2.6239999999999983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11-47CB-A6D2-87649A984278}"/>
            </c:ext>
          </c:extLst>
        </c:ser>
        <c:ser>
          <c:idx val="2"/>
          <c:order val="2"/>
          <c:tx>
            <c:strRef>
              <c:f>Comaprison!$D$224</c:f>
              <c:strCache>
                <c:ptCount val="1"/>
                <c:pt idx="0">
                  <c:v>CHINA</c:v>
                </c:pt>
              </c:strCache>
            </c:strRef>
          </c:tx>
          <c:spPr>
            <a:ln w="25560">
              <a:solidFill>
                <a:srgbClr val="A5A5A5"/>
              </a:solidFill>
              <a:round/>
            </a:ln>
          </c:spPr>
          <c:marker>
            <c:symbol val="circle"/>
            <c:size val="4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Comaprison!$D$225:$D$249</c:f>
              <c:numCache>
                <c:formatCode>0.00;[Red]0.00</c:formatCode>
                <c:ptCount val="25"/>
                <c:pt idx="0">
                  <c:v>-3.7184800000000013</c:v>
                </c:pt>
                <c:pt idx="1">
                  <c:v>-2.5644800000000014</c:v>
                </c:pt>
                <c:pt idx="2">
                  <c:v>-1.6394800000000007</c:v>
                </c:pt>
                <c:pt idx="3">
                  <c:v>-0.93448000000000064</c:v>
                </c:pt>
                <c:pt idx="4">
                  <c:v>-1.1254800000000014</c:v>
                </c:pt>
                <c:pt idx="5">
                  <c:v>-1.063480000000002</c:v>
                </c:pt>
                <c:pt idx="6">
                  <c:v>-1.2274800000000017</c:v>
                </c:pt>
                <c:pt idx="7">
                  <c:v>-1.334480000000001</c:v>
                </c:pt>
                <c:pt idx="8">
                  <c:v>-0.75548000000000037</c:v>
                </c:pt>
                <c:pt idx="9">
                  <c:v>-0.40848000000000084</c:v>
                </c:pt>
                <c:pt idx="10">
                  <c:v>-0.7354800000000008</c:v>
                </c:pt>
                <c:pt idx="11">
                  <c:v>-0.58248000000000033</c:v>
                </c:pt>
                <c:pt idx="12">
                  <c:v>-0.40448000000000128</c:v>
                </c:pt>
                <c:pt idx="13">
                  <c:v>-0.24248000000000047</c:v>
                </c:pt>
                <c:pt idx="14">
                  <c:v>-5.1480000000001525E-2</c:v>
                </c:pt>
                <c:pt idx="15">
                  <c:v>0.12151999999999852</c:v>
                </c:pt>
                <c:pt idx="16">
                  <c:v>1.5519999999998646E-2</c:v>
                </c:pt>
                <c:pt idx="17">
                  <c:v>-0.12748000000000204</c:v>
                </c:pt>
                <c:pt idx="18">
                  <c:v>-0.88448000000000171</c:v>
                </c:pt>
                <c:pt idx="19">
                  <c:v>0.12251999999999796</c:v>
                </c:pt>
                <c:pt idx="20">
                  <c:v>2.0915199999999992</c:v>
                </c:pt>
                <c:pt idx="21">
                  <c:v>1.8455199999999987</c:v>
                </c:pt>
                <c:pt idx="22">
                  <c:v>4.1145199999999988</c:v>
                </c:pt>
                <c:pt idx="23">
                  <c:v>5.0035199999999982</c:v>
                </c:pt>
                <c:pt idx="24">
                  <c:v>4.4855199999999993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11-47CB-A6D2-87649A984278}"/>
            </c:ext>
          </c:extLst>
        </c:ser>
        <c:ser>
          <c:idx val="3"/>
          <c:order val="3"/>
          <c:tx>
            <c:strRef>
              <c:f>Comaprison!$E$224</c:f>
              <c:strCache>
                <c:ptCount val="1"/>
                <c:pt idx="0">
                  <c:v>ITALY</c:v>
                </c:pt>
              </c:strCache>
            </c:strRef>
          </c:tx>
          <c:spPr>
            <a:ln w="25560">
              <a:solidFill>
                <a:srgbClr val="FFC000"/>
              </a:solidFill>
              <a:round/>
            </a:ln>
          </c:spPr>
          <c:marker>
            <c:symbol val="circle"/>
            <c:size val="4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Comaprison!$E$225:$E$249</c:f>
              <c:numCache>
                <c:formatCode>0.00;[Red]0.00</c:formatCode>
                <c:ptCount val="25"/>
                <c:pt idx="0">
                  <c:v>0.90000000000000036</c:v>
                </c:pt>
                <c:pt idx="1">
                  <c:v>-9.9999999999999645E-2</c:v>
                </c:pt>
                <c:pt idx="2">
                  <c:v>-0.59999999999999964</c:v>
                </c:pt>
                <c:pt idx="3">
                  <c:v>-0.69999999999999929</c:v>
                </c:pt>
                <c:pt idx="4">
                  <c:v>-1.1999999999999993</c:v>
                </c:pt>
                <c:pt idx="5">
                  <c:v>-1.3999999999999995</c:v>
                </c:pt>
                <c:pt idx="6">
                  <c:v>-2.2999999999999989</c:v>
                </c:pt>
                <c:pt idx="7">
                  <c:v>-2.9999999999999991</c:v>
                </c:pt>
                <c:pt idx="8">
                  <c:v>-2.3999999999999995</c:v>
                </c:pt>
                <c:pt idx="9">
                  <c:v>-1.2999999999999989</c:v>
                </c:pt>
                <c:pt idx="10">
                  <c:v>-0.69999999999999929</c:v>
                </c:pt>
                <c:pt idx="11">
                  <c:v>-0.59999999999999964</c:v>
                </c:pt>
                <c:pt idx="12">
                  <c:v>1.7000000000000011</c:v>
                </c:pt>
                <c:pt idx="13">
                  <c:v>3.2000000000000011</c:v>
                </c:pt>
                <c:pt idx="14">
                  <c:v>3.6000000000000014</c:v>
                </c:pt>
                <c:pt idx="15">
                  <c:v>2.8000000000000007</c:v>
                </c:pt>
                <c:pt idx="16">
                  <c:v>2.5</c:v>
                </c:pt>
                <c:pt idx="17">
                  <c:v>2.1000000000000014</c:v>
                </c:pt>
                <c:pt idx="18">
                  <c:v>1.4000000000000004</c:v>
                </c:pt>
                <c:pt idx="19">
                  <c:v>0.70000000000000107</c:v>
                </c:pt>
                <c:pt idx="20">
                  <c:v>0.20000000000000107</c:v>
                </c:pt>
                <c:pt idx="21">
                  <c:v>0.40000000000000036</c:v>
                </c:pt>
                <c:pt idx="22">
                  <c:v>-1.0999999999999996</c:v>
                </c:pt>
                <c:pt idx="23">
                  <c:v>-1.4999999999999991</c:v>
                </c:pt>
                <c:pt idx="24">
                  <c:v>-2.5999999999999996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11-47CB-A6D2-87649A984278}"/>
            </c:ext>
          </c:extLst>
        </c:ser>
        <c:ser>
          <c:idx val="4"/>
          <c:order val="4"/>
          <c:tx>
            <c:strRef>
              <c:f>Comaprison!$F$224</c:f>
              <c:strCache>
                <c:ptCount val="1"/>
                <c:pt idx="0">
                  <c:v>FRANCE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Comaprison!$F$225:$F$249</c:f>
              <c:numCache>
                <c:formatCode>0.00;[Red]0.00</c:formatCode>
                <c:ptCount val="25"/>
                <c:pt idx="0">
                  <c:v>0.4079999999999977</c:v>
                </c:pt>
                <c:pt idx="1">
                  <c:v>-0.29200000000000159</c:v>
                </c:pt>
                <c:pt idx="2">
                  <c:v>-0.49200000000000088</c:v>
                </c:pt>
                <c:pt idx="3">
                  <c:v>-0.29200000000000159</c:v>
                </c:pt>
                <c:pt idx="4">
                  <c:v>0.10799999999999876</c:v>
                </c:pt>
                <c:pt idx="5">
                  <c:v>0.10799999999999876</c:v>
                </c:pt>
                <c:pt idx="6">
                  <c:v>0.10799999999999876</c:v>
                </c:pt>
                <c:pt idx="7">
                  <c:v>-0.79200000000000159</c:v>
                </c:pt>
                <c:pt idx="8">
                  <c:v>-1.3920000000000012</c:v>
                </c:pt>
                <c:pt idx="9">
                  <c:v>0.30799999999999805</c:v>
                </c:pt>
                <c:pt idx="10">
                  <c:v>0.50799999999999912</c:v>
                </c:pt>
                <c:pt idx="11">
                  <c:v>0.4079999999999977</c:v>
                </c:pt>
                <c:pt idx="12">
                  <c:v>1.0079999999999991</c:v>
                </c:pt>
                <c:pt idx="13">
                  <c:v>1.5079999999999991</c:v>
                </c:pt>
                <c:pt idx="14">
                  <c:v>1.5079999999999991</c:v>
                </c:pt>
                <c:pt idx="15">
                  <c:v>1.5079999999999991</c:v>
                </c:pt>
                <c:pt idx="16">
                  <c:v>1.3079999999999981</c:v>
                </c:pt>
                <c:pt idx="17">
                  <c:v>0.60799999999999876</c:v>
                </c:pt>
                <c:pt idx="18">
                  <c:v>0.20799999999999841</c:v>
                </c:pt>
                <c:pt idx="19">
                  <c:v>-0.39200000000000124</c:v>
                </c:pt>
                <c:pt idx="20">
                  <c:v>-0.79200000000000159</c:v>
                </c:pt>
                <c:pt idx="21">
                  <c:v>-0.89200000000000124</c:v>
                </c:pt>
                <c:pt idx="22">
                  <c:v>-1.4920000000000018</c:v>
                </c:pt>
                <c:pt idx="23">
                  <c:v>-1.4920000000000018</c:v>
                </c:pt>
                <c:pt idx="24">
                  <c:v>-1.2920000000000016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11-47CB-A6D2-87649A984278}"/>
            </c:ext>
          </c:extLst>
        </c:ser>
        <c:ser>
          <c:idx val="5"/>
          <c:order val="5"/>
          <c:tx>
            <c:strRef>
              <c:f>Comaprison!$G$224</c:f>
              <c:strCache>
                <c:ptCount val="1"/>
                <c:pt idx="0">
                  <c:v>JAPAN</c:v>
                </c:pt>
              </c:strCache>
            </c:strRef>
          </c:tx>
          <c:spPr>
            <a:ln w="2556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Comaprison!$G$225:$G$249</c:f>
              <c:numCache>
                <c:formatCode>0.00;[Red]0.00</c:formatCode>
                <c:ptCount val="25"/>
                <c:pt idx="0">
                  <c:v>0.88400000000000034</c:v>
                </c:pt>
                <c:pt idx="1">
                  <c:v>1.1840000000000002</c:v>
                </c:pt>
                <c:pt idx="2">
                  <c:v>1.5840000000000005</c:v>
                </c:pt>
                <c:pt idx="3">
                  <c:v>1.3840000000000003</c:v>
                </c:pt>
                <c:pt idx="4">
                  <c:v>0.88400000000000034</c:v>
                </c:pt>
                <c:pt idx="5">
                  <c:v>0.58400000000000052</c:v>
                </c:pt>
                <c:pt idx="6">
                  <c:v>0.28399999999999981</c:v>
                </c:pt>
                <c:pt idx="7">
                  <c:v>-1.6000000000000014E-2</c:v>
                </c:pt>
                <c:pt idx="8">
                  <c:v>0.18400000000000016</c:v>
                </c:pt>
                <c:pt idx="9">
                  <c:v>1.2839999999999998</c:v>
                </c:pt>
                <c:pt idx="10">
                  <c:v>1.2839999999999998</c:v>
                </c:pt>
                <c:pt idx="11">
                  <c:v>0.78399999999999981</c:v>
                </c:pt>
                <c:pt idx="12">
                  <c:v>0.48399999999999999</c:v>
                </c:pt>
                <c:pt idx="13">
                  <c:v>0.18400000000000016</c:v>
                </c:pt>
                <c:pt idx="14">
                  <c:v>-0.21599999999999975</c:v>
                </c:pt>
                <c:pt idx="15">
                  <c:v>-0.41599999999999993</c:v>
                </c:pt>
                <c:pt idx="16">
                  <c:v>-0.71599999999999975</c:v>
                </c:pt>
                <c:pt idx="17">
                  <c:v>-1.016</c:v>
                </c:pt>
                <c:pt idx="18">
                  <c:v>-1.4159999999999999</c:v>
                </c:pt>
                <c:pt idx="19">
                  <c:v>-1.4159999999999999</c:v>
                </c:pt>
                <c:pt idx="20">
                  <c:v>-1.016</c:v>
                </c:pt>
                <c:pt idx="21">
                  <c:v>-1.016</c:v>
                </c:pt>
                <c:pt idx="22">
                  <c:v>-1.2159999999999997</c:v>
                </c:pt>
                <c:pt idx="23">
                  <c:v>-1.2159999999999997</c:v>
                </c:pt>
                <c:pt idx="24">
                  <c:v>-1.3159999999999998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11-47CB-A6D2-87649A984278}"/>
            </c:ext>
          </c:extLst>
        </c:ser>
        <c:ser>
          <c:idx val="6"/>
          <c:order val="6"/>
          <c:tx>
            <c:strRef>
              <c:f>Comaprison!$H$224</c:f>
              <c:strCache>
                <c:ptCount val="1"/>
                <c:pt idx="0">
                  <c:v>UK</c:v>
                </c:pt>
              </c:strCache>
            </c:strRef>
          </c:tx>
          <c:spPr>
            <a:ln w="25560">
              <a:solidFill>
                <a:srgbClr val="264478"/>
              </a:solidFill>
              <a:round/>
            </a:ln>
          </c:spPr>
          <c:marker>
            <c:symbol val="circle"/>
            <c:size val="4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Comaprison!$H$225:$H$249</c:f>
              <c:numCache>
                <c:formatCode>0.00;[Red]0.00</c:formatCode>
                <c:ptCount val="25"/>
                <c:pt idx="0">
                  <c:v>5.1999999999999602E-2</c:v>
                </c:pt>
                <c:pt idx="1">
                  <c:v>-0.34800000000000075</c:v>
                </c:pt>
                <c:pt idx="2">
                  <c:v>-0.24800000000000022</c:v>
                </c:pt>
                <c:pt idx="3">
                  <c:v>-0.4480000000000004</c:v>
                </c:pt>
                <c:pt idx="4">
                  <c:v>-0.64800000000000058</c:v>
                </c:pt>
                <c:pt idx="5">
                  <c:v>-0.64800000000000058</c:v>
                </c:pt>
                <c:pt idx="6">
                  <c:v>-4.8000000000000043E-2</c:v>
                </c:pt>
                <c:pt idx="7">
                  <c:v>-0.14800000000000058</c:v>
                </c:pt>
                <c:pt idx="8">
                  <c:v>0.25199999999999978</c:v>
                </c:pt>
                <c:pt idx="9">
                  <c:v>2.1519999999999992</c:v>
                </c:pt>
                <c:pt idx="10">
                  <c:v>2.452</c:v>
                </c:pt>
                <c:pt idx="11">
                  <c:v>2.6519999999999992</c:v>
                </c:pt>
                <c:pt idx="12">
                  <c:v>2.5519999999999996</c:v>
                </c:pt>
                <c:pt idx="13">
                  <c:v>2.1519999999999992</c:v>
                </c:pt>
                <c:pt idx="14">
                  <c:v>0.75199999999999978</c:v>
                </c:pt>
                <c:pt idx="15">
                  <c:v>-4.8000000000000043E-2</c:v>
                </c:pt>
                <c:pt idx="16">
                  <c:v>-0.54800000000000004</c:v>
                </c:pt>
                <c:pt idx="17">
                  <c:v>-1.048</c:v>
                </c:pt>
                <c:pt idx="18">
                  <c:v>-1.3480000000000008</c:v>
                </c:pt>
                <c:pt idx="19">
                  <c:v>-1.5480000000000005</c:v>
                </c:pt>
                <c:pt idx="20">
                  <c:v>-0.84800000000000075</c:v>
                </c:pt>
                <c:pt idx="21">
                  <c:v>-0.9480000000000004</c:v>
                </c:pt>
                <c:pt idx="22">
                  <c:v>-1.6480000000000006</c:v>
                </c:pt>
                <c:pt idx="23">
                  <c:v>-1.3480000000000008</c:v>
                </c:pt>
                <c:pt idx="24">
                  <c:v>-1.1480000000000006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11-47CB-A6D2-87649A984278}"/>
            </c:ext>
          </c:extLst>
        </c:ser>
        <c:ser>
          <c:idx val="7"/>
          <c:order val="7"/>
          <c:tx>
            <c:strRef>
              <c:f>Comaprison!$I$224</c:f>
              <c:strCache>
                <c:ptCount val="1"/>
                <c:pt idx="0">
                  <c:v>IRAN</c:v>
                </c:pt>
              </c:strCache>
            </c:strRef>
          </c:tx>
          <c:spPr>
            <a:ln w="2556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Comaprison!$I$225:$I$249</c:f>
              <c:numCache>
                <c:formatCode>0.00;[Red]0.00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0.73934999999999818</c:v>
                </c:pt>
                <c:pt idx="6">
                  <c:v>0.51434999999999853</c:v>
                </c:pt>
                <c:pt idx="7">
                  <c:v>-0.23565000000000147</c:v>
                </c:pt>
                <c:pt idx="8">
                  <c:v>-0.36065000000000147</c:v>
                </c:pt>
                <c:pt idx="9">
                  <c:v>1.1893499999999992</c:v>
                </c:pt>
                <c:pt idx="10">
                  <c:v>2.6893499999999992</c:v>
                </c:pt>
                <c:pt idx="11">
                  <c:v>1.4893499999999982</c:v>
                </c:pt>
                <c:pt idx="12">
                  <c:v>1.3143499999999992</c:v>
                </c:pt>
                <c:pt idx="13">
                  <c:v>-0.38565000000000182</c:v>
                </c:pt>
                <c:pt idx="14">
                  <c:v>-0.2856500000000004</c:v>
                </c:pt>
                <c:pt idx="15">
                  <c:v>0.2143499999999996</c:v>
                </c:pt>
                <c:pt idx="16">
                  <c:v>1.5893499999999996</c:v>
                </c:pt>
                <c:pt idx="17">
                  <c:v>1.2643499999999985</c:v>
                </c:pt>
                <c:pt idx="18">
                  <c:v>1.2143499999999996</c:v>
                </c:pt>
                <c:pt idx="19">
                  <c:v>-0.18565000000000076</c:v>
                </c:pt>
                <c:pt idx="20">
                  <c:v>-1.2266500000000011</c:v>
                </c:pt>
                <c:pt idx="21">
                  <c:v>-1.6566500000000008</c:v>
                </c:pt>
                <c:pt idx="22">
                  <c:v>-1.8356500000000011</c:v>
                </c:pt>
                <c:pt idx="23">
                  <c:v>-2.7606500000000018</c:v>
                </c:pt>
                <c:pt idx="24">
                  <c:v>-3.2856500000000013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11-47CB-A6D2-87649A984278}"/>
            </c:ext>
          </c:extLst>
        </c:ser>
        <c:ser>
          <c:idx val="8"/>
          <c:order val="8"/>
          <c:tx>
            <c:strRef>
              <c:f>Comaprison!$J$224</c:f>
              <c:strCache>
                <c:ptCount val="1"/>
              </c:strCache>
            </c:strRef>
          </c:tx>
          <c:spPr>
            <a:ln w="19080">
              <a:solidFill>
                <a:srgbClr val="7F7F7F"/>
              </a:solidFill>
              <a:prstDash val="sysDot"/>
              <a:round/>
            </a:ln>
          </c:spPr>
          <c:marker>
            <c:symbol val="circle"/>
            <c:size val="4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Comaprison!$A$225:$A$249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Comaprison!$J$225:$J$249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11-47CB-A6D2-87649A98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9250483"/>
        <c:axId val="4151339"/>
      </c:lineChart>
      <c:catAx>
        <c:axId val="39250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4151339"/>
        <c:crosses val="autoZero"/>
        <c:auto val="1"/>
        <c:lblAlgn val="ctr"/>
        <c:lblOffset val="100"/>
        <c:noMultiLvlLbl val="0"/>
      </c:catAx>
      <c:valAx>
        <c:axId val="4151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Percentage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[Red]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9250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Real GDP Growth</c:v>
          </c:tx>
          <c:invertIfNegative val="1"/>
          <c:cat>
            <c:strRef>
              <c:f>Comaprison!$A$256:$A$263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Comaprison!$C$256:$C$263</c:f>
              <c:numCache>
                <c:formatCode>0.00</c:formatCode>
                <c:ptCount val="8"/>
                <c:pt idx="0">
                  <c:v>2.7931871539161364</c:v>
                </c:pt>
                <c:pt idx="1">
                  <c:v>4.0531606401049004E-2</c:v>
                </c:pt>
                <c:pt idx="2">
                  <c:v>5.0000000000000036</c:v>
                </c:pt>
                <c:pt idx="3">
                  <c:v>0.58635073578461494</c:v>
                </c:pt>
                <c:pt idx="4">
                  <c:v>1.4263884112210379</c:v>
                </c:pt>
                <c:pt idx="5">
                  <c:v>-0.16090508341253579</c:v>
                </c:pt>
                <c:pt idx="6">
                  <c:v>1.0424160769489028</c:v>
                </c:pt>
                <c:pt idx="7">
                  <c:v>3.6631205683071655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3-44E4-983E-C3D2C9238A9D}"/>
            </c:ext>
          </c:extLst>
        </c:ser>
        <c:ser>
          <c:idx val="1"/>
          <c:order val="1"/>
          <c:tx>
            <c:v>CPI Inflation</c:v>
          </c:tx>
          <c:invertIfNegative val="1"/>
          <c:cat>
            <c:strRef>
              <c:f>Comaprison!$A$256:$A$263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Comaprison!$D$256:$D$263</c:f>
              <c:numCache>
                <c:formatCode>0.00</c:formatCode>
                <c:ptCount val="8"/>
                <c:pt idx="0">
                  <c:v>2.9520549518711681</c:v>
                </c:pt>
                <c:pt idx="1">
                  <c:v>2.2564932777899438</c:v>
                </c:pt>
                <c:pt idx="2">
                  <c:v>0.2181257208661424</c:v>
                </c:pt>
                <c:pt idx="3">
                  <c:v>0.98237302306139318</c:v>
                </c:pt>
                <c:pt idx="4">
                  <c:v>1.999049422915165</c:v>
                </c:pt>
                <c:pt idx="5">
                  <c:v>2.7385368163524064</c:v>
                </c:pt>
                <c:pt idx="6">
                  <c:v>3.271572946358889</c:v>
                </c:pt>
                <c:pt idx="7">
                  <c:v>32.788782114140034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3-44E4-983E-C3D2C9238A9D}"/>
            </c:ext>
          </c:extLst>
        </c:ser>
        <c:ser>
          <c:idx val="2"/>
          <c:order val="2"/>
          <c:tx>
            <c:v>Unemployment</c:v>
          </c:tx>
          <c:invertIfNegative val="1"/>
          <c:cat>
            <c:strRef>
              <c:f>Comaprison!$A$256:$A$263</c:f>
              <c:strCache>
                <c:ptCount val="8"/>
                <c:pt idx="0">
                  <c:v>USA</c:v>
                </c:pt>
                <c:pt idx="1">
                  <c:v>GERMANY</c:v>
                </c:pt>
                <c:pt idx="2">
                  <c:v>CHINA</c:v>
                </c:pt>
                <c:pt idx="3">
                  <c:v>ITALY</c:v>
                </c:pt>
                <c:pt idx="4">
                  <c:v>FRANCE</c:v>
                </c:pt>
                <c:pt idx="5">
                  <c:v>JAPAN</c:v>
                </c:pt>
                <c:pt idx="6">
                  <c:v>UK</c:v>
                </c:pt>
                <c:pt idx="7">
                  <c:v>IRAN</c:v>
                </c:pt>
              </c:strCache>
            </c:strRef>
          </c:cat>
          <c:val>
            <c:numRef>
              <c:f>Comaprison!$E$256:$E$263</c:f>
              <c:numCache>
                <c:formatCode>0.00</c:formatCode>
                <c:ptCount val="8"/>
                <c:pt idx="0">
                  <c:v>4</c:v>
                </c:pt>
                <c:pt idx="1">
                  <c:v>3.4</c:v>
                </c:pt>
                <c:pt idx="2">
                  <c:v>15.044</c:v>
                </c:pt>
                <c:pt idx="3">
                  <c:v>6.6</c:v>
                </c:pt>
                <c:pt idx="4">
                  <c:v>7.5</c:v>
                </c:pt>
                <c:pt idx="5">
                  <c:v>2.5</c:v>
                </c:pt>
                <c:pt idx="6">
                  <c:v>4.3</c:v>
                </c:pt>
                <c:pt idx="7">
                  <c:v>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3-44E4-983E-C3D2C9238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Percent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Misery Index</c:v>
          </c:tx>
          <c:invertIfNegative val="1"/>
          <c:cat>
            <c:strRef>
              <c:f>Comaprison!$A$267:$A$274</c:f>
              <c:strCache>
                <c:ptCount val="8"/>
                <c:pt idx="0">
                  <c:v>JAPAN</c:v>
                </c:pt>
                <c:pt idx="1">
                  <c:v>GERMANY</c:v>
                </c:pt>
                <c:pt idx="2">
                  <c:v>USA</c:v>
                </c:pt>
                <c:pt idx="3">
                  <c:v>UK</c:v>
                </c:pt>
                <c:pt idx="4">
                  <c:v>ITALY</c:v>
                </c:pt>
                <c:pt idx="5">
                  <c:v>FRANCE</c:v>
                </c:pt>
                <c:pt idx="6">
                  <c:v>CHINA</c:v>
                </c:pt>
                <c:pt idx="7">
                  <c:v>IRAN</c:v>
                </c:pt>
              </c:strCache>
            </c:strRef>
          </c:cat>
          <c:val>
            <c:numRef>
              <c:f>Comaprison!$B$267:$B$274</c:f>
              <c:numCache>
                <c:formatCode>0.00</c:formatCode>
                <c:ptCount val="8"/>
                <c:pt idx="0">
                  <c:v>5.238536816352406</c:v>
                </c:pt>
                <c:pt idx="1">
                  <c:v>5.6564932777899433</c:v>
                </c:pt>
                <c:pt idx="2">
                  <c:v>6.9520549518711681</c:v>
                </c:pt>
                <c:pt idx="3">
                  <c:v>7.5715729463588888</c:v>
                </c:pt>
                <c:pt idx="4">
                  <c:v>7.5823730230613933</c:v>
                </c:pt>
                <c:pt idx="5">
                  <c:v>9.4990494229151654</c:v>
                </c:pt>
                <c:pt idx="6">
                  <c:v>15.262125720866143</c:v>
                </c:pt>
                <c:pt idx="7">
                  <c:v>40.338782114140031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8-4D5B-8C6C-71AD038B7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Country</a:t>
                </a:r>
              </a:p>
            </c:rich>
          </c:tx>
          <c:layout>
            <c:manualLayout>
              <c:xMode val="edge"/>
              <c:yMode val="edge"/>
              <c:x val="2.6980874171825256E-3"/>
              <c:y val="0.3371052627789673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Index points</a:t>
                </a:r>
              </a:p>
            </c:rich>
          </c:tx>
          <c:layout>
            <c:manualLayout>
              <c:xMode val="edge"/>
              <c:yMode val="edge"/>
              <c:x val="0.38988340438296865"/>
              <c:y val="0.84017129338311647"/>
            </c:manualLayout>
          </c:layout>
          <c:overlay val="1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12" Type="http://schemas.openxmlformats.org/officeDocument/2006/relationships/chart" Target="../charts/chart68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chart" Target="../charts/chart67.xml"/><Relationship Id="rId5" Type="http://schemas.openxmlformats.org/officeDocument/2006/relationships/chart" Target="../charts/chart61.xml"/><Relationship Id="rId10" Type="http://schemas.openxmlformats.org/officeDocument/2006/relationships/chart" Target="../charts/chart66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1582614</xdr:colOff>
      <xdr:row>34</xdr:row>
      <xdr:rowOff>146538</xdr:rowOff>
    </xdr:from>
    <xdr:to>
      <xdr:col>9</xdr:col>
      <xdr:colOff>100143</xdr:colOff>
      <xdr:row>54</xdr:row>
      <xdr:rowOff>5675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410308</xdr:colOff>
      <xdr:row>34</xdr:row>
      <xdr:rowOff>58616</xdr:rowOff>
    </xdr:from>
    <xdr:to>
      <xdr:col>11</xdr:col>
      <xdr:colOff>1243145</xdr:colOff>
      <xdr:row>54</xdr:row>
      <xdr:rowOff>52209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146538</xdr:colOff>
      <xdr:row>34</xdr:row>
      <xdr:rowOff>29308</xdr:rowOff>
    </xdr:from>
    <xdr:to>
      <xdr:col>15</xdr:col>
      <xdr:colOff>832836</xdr:colOff>
      <xdr:row>54</xdr:row>
      <xdr:rowOff>13301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1230923</xdr:colOff>
      <xdr:row>34</xdr:row>
      <xdr:rowOff>117230</xdr:rowOff>
    </xdr:from>
    <xdr:to>
      <xdr:col>18</xdr:col>
      <xdr:colOff>12221</xdr:colOff>
      <xdr:row>54</xdr:row>
      <xdr:rowOff>101223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1611923</xdr:colOff>
      <xdr:row>56</xdr:row>
      <xdr:rowOff>58616</xdr:rowOff>
    </xdr:from>
    <xdr:to>
      <xdr:col>9</xdr:col>
      <xdr:colOff>129452</xdr:colOff>
      <xdr:row>76</xdr:row>
      <xdr:rowOff>42970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468924</xdr:colOff>
      <xdr:row>56</xdr:row>
      <xdr:rowOff>146539</xdr:rowOff>
    </xdr:from>
    <xdr:to>
      <xdr:col>11</xdr:col>
      <xdr:colOff>1301761</xdr:colOff>
      <xdr:row>76</xdr:row>
      <xdr:rowOff>130893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381000</xdr:colOff>
      <xdr:row>57</xdr:row>
      <xdr:rowOff>87922</xdr:rowOff>
    </xdr:from>
    <xdr:to>
      <xdr:col>15</xdr:col>
      <xdr:colOff>1067298</xdr:colOff>
      <xdr:row>77</xdr:row>
      <xdr:rowOff>71916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98321</xdr:colOff>
      <xdr:row>35</xdr:row>
      <xdr:rowOff>122904</xdr:rowOff>
    </xdr:from>
    <xdr:to>
      <xdr:col>8</xdr:col>
      <xdr:colOff>650372</xdr:colOff>
      <xdr:row>55</xdr:row>
      <xdr:rowOff>166983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1032387</xdr:colOff>
      <xdr:row>35</xdr:row>
      <xdr:rowOff>49162</xdr:rowOff>
    </xdr:from>
    <xdr:to>
      <xdr:col>10</xdr:col>
      <xdr:colOff>2125212</xdr:colOff>
      <xdr:row>55</xdr:row>
      <xdr:rowOff>148023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2556387</xdr:colOff>
      <xdr:row>35</xdr:row>
      <xdr:rowOff>73743</xdr:rowOff>
    </xdr:from>
    <xdr:to>
      <xdr:col>14</xdr:col>
      <xdr:colOff>134179</xdr:colOff>
      <xdr:row>55</xdr:row>
      <xdr:rowOff>61879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737419</xdr:colOff>
      <xdr:row>35</xdr:row>
      <xdr:rowOff>0</xdr:rowOff>
    </xdr:from>
    <xdr:to>
      <xdr:col>17</xdr:col>
      <xdr:colOff>158760</xdr:colOff>
      <xdr:row>54</xdr:row>
      <xdr:rowOff>160201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172063</xdr:colOff>
      <xdr:row>57</xdr:row>
      <xdr:rowOff>73743</xdr:rowOff>
    </xdr:from>
    <xdr:to>
      <xdr:col>8</xdr:col>
      <xdr:colOff>724114</xdr:colOff>
      <xdr:row>77</xdr:row>
      <xdr:rowOff>61518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1130709</xdr:colOff>
      <xdr:row>58</xdr:row>
      <xdr:rowOff>147484</xdr:rowOff>
    </xdr:from>
    <xdr:to>
      <xdr:col>10</xdr:col>
      <xdr:colOff>2223534</xdr:colOff>
      <xdr:row>78</xdr:row>
      <xdr:rowOff>135259</xdr:rowOff>
    </xdr:to>
    <xdr:graphicFrame macro="">
      <xdr:nvGraphicFramePr>
        <xdr:cNvPr id="12" name="Chart 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2826774</xdr:colOff>
      <xdr:row>58</xdr:row>
      <xdr:rowOff>0</xdr:rowOff>
    </xdr:from>
    <xdr:to>
      <xdr:col>14</xdr:col>
      <xdr:colOff>404566</xdr:colOff>
      <xdr:row>77</xdr:row>
      <xdr:rowOff>160200</xdr:rowOff>
    </xdr:to>
    <xdr:graphicFrame macro="">
      <xdr:nvGraphicFramePr>
        <xdr:cNvPr id="13" name="Chart 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994833</xdr:colOff>
      <xdr:row>33</xdr:row>
      <xdr:rowOff>105834</xdr:rowOff>
    </xdr:from>
    <xdr:to>
      <xdr:col>9</xdr:col>
      <xdr:colOff>1769453</xdr:colOff>
      <xdr:row>54</xdr:row>
      <xdr:rowOff>50907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</xdr:colOff>
      <xdr:row>34</xdr:row>
      <xdr:rowOff>0</xdr:rowOff>
    </xdr:from>
    <xdr:to>
      <xdr:col>12</xdr:col>
      <xdr:colOff>774620</xdr:colOff>
      <xdr:row>54</xdr:row>
      <xdr:rowOff>158946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1439334</xdr:colOff>
      <xdr:row>33</xdr:row>
      <xdr:rowOff>105833</xdr:rowOff>
    </xdr:from>
    <xdr:to>
      <xdr:col>16</xdr:col>
      <xdr:colOff>435953</xdr:colOff>
      <xdr:row>53</xdr:row>
      <xdr:rowOff>96701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931333</xdr:colOff>
      <xdr:row>33</xdr:row>
      <xdr:rowOff>63500</xdr:rowOff>
    </xdr:from>
    <xdr:to>
      <xdr:col>18</xdr:col>
      <xdr:colOff>2150453</xdr:colOff>
      <xdr:row>53</xdr:row>
      <xdr:rowOff>54368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867834</xdr:colOff>
      <xdr:row>57</xdr:row>
      <xdr:rowOff>148167</xdr:rowOff>
    </xdr:from>
    <xdr:to>
      <xdr:col>9</xdr:col>
      <xdr:colOff>1642454</xdr:colOff>
      <xdr:row>77</xdr:row>
      <xdr:rowOff>138675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21167</xdr:colOff>
      <xdr:row>57</xdr:row>
      <xdr:rowOff>148167</xdr:rowOff>
    </xdr:from>
    <xdr:to>
      <xdr:col>12</xdr:col>
      <xdr:colOff>795786</xdr:colOff>
      <xdr:row>77</xdr:row>
      <xdr:rowOff>138675</xdr:rowOff>
    </xdr:to>
    <xdr:graphicFrame macro="">
      <xdr:nvGraphicFramePr>
        <xdr:cNvPr id="19" name="Chart 6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1566334</xdr:colOff>
      <xdr:row>58</xdr:row>
      <xdr:rowOff>126999</xdr:rowOff>
    </xdr:from>
    <xdr:to>
      <xdr:col>16</xdr:col>
      <xdr:colOff>562953</xdr:colOff>
      <xdr:row>78</xdr:row>
      <xdr:rowOff>117866</xdr:rowOff>
    </xdr:to>
    <xdr:graphicFrame macro="">
      <xdr:nvGraphicFramePr>
        <xdr:cNvPr id="20" name="Chart 7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1183531</xdr:colOff>
      <xdr:row>33</xdr:row>
      <xdr:rowOff>145915</xdr:rowOff>
    </xdr:from>
    <xdr:to>
      <xdr:col>9</xdr:col>
      <xdr:colOff>1390929</xdr:colOff>
      <xdr:row>53</xdr:row>
      <xdr:rowOff>28389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1783404</xdr:colOff>
      <xdr:row>34</xdr:row>
      <xdr:rowOff>0</xdr:rowOff>
    </xdr:from>
    <xdr:to>
      <xdr:col>12</xdr:col>
      <xdr:colOff>823483</xdr:colOff>
      <xdr:row>53</xdr:row>
      <xdr:rowOff>155344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1199745</xdr:colOff>
      <xdr:row>33</xdr:row>
      <xdr:rowOff>129702</xdr:rowOff>
    </xdr:from>
    <xdr:to>
      <xdr:col>15</xdr:col>
      <xdr:colOff>1715185</xdr:colOff>
      <xdr:row>53</xdr:row>
      <xdr:rowOff>111562</xdr:rowOff>
    </xdr:to>
    <xdr:graphicFrame macro="">
      <xdr:nvGraphicFramePr>
        <xdr:cNvPr id="23" name="Chart 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2253574</xdr:colOff>
      <xdr:row>33</xdr:row>
      <xdr:rowOff>64851</xdr:rowOff>
    </xdr:from>
    <xdr:to>
      <xdr:col>18</xdr:col>
      <xdr:colOff>904547</xdr:colOff>
      <xdr:row>53</xdr:row>
      <xdr:rowOff>46711</xdr:rowOff>
    </xdr:to>
    <xdr:graphicFrame macro="">
      <xdr:nvGraphicFramePr>
        <xdr:cNvPr id="24" name="Chart 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1297021</xdr:colOff>
      <xdr:row>56</xdr:row>
      <xdr:rowOff>129703</xdr:rowOff>
    </xdr:from>
    <xdr:to>
      <xdr:col>9</xdr:col>
      <xdr:colOff>1504419</xdr:colOff>
      <xdr:row>76</xdr:row>
      <xdr:rowOff>111202</xdr:rowOff>
    </xdr:to>
    <xdr:graphicFrame macro="">
      <xdr:nvGraphicFramePr>
        <xdr:cNvPr id="25" name="Chart 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1848256</xdr:colOff>
      <xdr:row>56</xdr:row>
      <xdr:rowOff>48639</xdr:rowOff>
    </xdr:from>
    <xdr:to>
      <xdr:col>12</xdr:col>
      <xdr:colOff>888335</xdr:colOff>
      <xdr:row>76</xdr:row>
      <xdr:rowOff>30138</xdr:rowOff>
    </xdr:to>
    <xdr:graphicFrame macro="">
      <xdr:nvGraphicFramePr>
        <xdr:cNvPr id="26" name="Chart 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1750979</xdr:colOff>
      <xdr:row>57</xdr:row>
      <xdr:rowOff>16213</xdr:rowOff>
    </xdr:from>
    <xdr:to>
      <xdr:col>15</xdr:col>
      <xdr:colOff>2266419</xdr:colOff>
      <xdr:row>77</xdr:row>
      <xdr:rowOff>2241</xdr:rowOff>
    </xdr:to>
    <xdr:graphicFrame macro="">
      <xdr:nvGraphicFramePr>
        <xdr:cNvPr id="27" name="Chart 7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778934</xdr:colOff>
      <xdr:row>34</xdr:row>
      <xdr:rowOff>152399</xdr:rowOff>
    </xdr:from>
    <xdr:to>
      <xdr:col>9</xdr:col>
      <xdr:colOff>1075547</xdr:colOff>
      <xdr:row>56</xdr:row>
      <xdr:rowOff>25506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1524000</xdr:colOff>
      <xdr:row>35</xdr:row>
      <xdr:rowOff>67733</xdr:rowOff>
    </xdr:from>
    <xdr:to>
      <xdr:col>12</xdr:col>
      <xdr:colOff>686079</xdr:colOff>
      <xdr:row>56</xdr:row>
      <xdr:rowOff>91213</xdr:rowOff>
    </xdr:to>
    <xdr:graphicFrame macro="">
      <xdr:nvGraphicFramePr>
        <xdr:cNvPr id="29" name="Chart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1151467</xdr:colOff>
      <xdr:row>35</xdr:row>
      <xdr:rowOff>135467</xdr:rowOff>
    </xdr:from>
    <xdr:to>
      <xdr:col>15</xdr:col>
      <xdr:colOff>1786746</xdr:colOff>
      <xdr:row>55</xdr:row>
      <xdr:rowOff>126333</xdr:rowOff>
    </xdr:to>
    <xdr:graphicFrame macro="">
      <xdr:nvGraphicFramePr>
        <xdr:cNvPr id="30" name="Chart 3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2184400</xdr:colOff>
      <xdr:row>35</xdr:row>
      <xdr:rowOff>135467</xdr:rowOff>
    </xdr:from>
    <xdr:to>
      <xdr:col>18</xdr:col>
      <xdr:colOff>923146</xdr:colOff>
      <xdr:row>55</xdr:row>
      <xdr:rowOff>126333</xdr:rowOff>
    </xdr:to>
    <xdr:graphicFrame macro="">
      <xdr:nvGraphicFramePr>
        <xdr:cNvPr id="31" name="Chart 4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694268</xdr:colOff>
      <xdr:row>59</xdr:row>
      <xdr:rowOff>67734</xdr:rowOff>
    </xdr:from>
    <xdr:to>
      <xdr:col>9</xdr:col>
      <xdr:colOff>990881</xdr:colOff>
      <xdr:row>79</xdr:row>
      <xdr:rowOff>58240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1524001</xdr:colOff>
      <xdr:row>59</xdr:row>
      <xdr:rowOff>50800</xdr:rowOff>
    </xdr:from>
    <xdr:to>
      <xdr:col>12</xdr:col>
      <xdr:colOff>686080</xdr:colOff>
      <xdr:row>79</xdr:row>
      <xdr:rowOff>41306</xdr:rowOff>
    </xdr:to>
    <xdr:graphicFrame macro="">
      <xdr:nvGraphicFramePr>
        <xdr:cNvPr id="33" name="Chart 6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1659466</xdr:colOff>
      <xdr:row>59</xdr:row>
      <xdr:rowOff>33867</xdr:rowOff>
    </xdr:from>
    <xdr:to>
      <xdr:col>15</xdr:col>
      <xdr:colOff>2294745</xdr:colOff>
      <xdr:row>79</xdr:row>
      <xdr:rowOff>24733</xdr:rowOff>
    </xdr:to>
    <xdr:graphicFrame macro="">
      <xdr:nvGraphicFramePr>
        <xdr:cNvPr id="34" name="Chart 7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155864</xdr:colOff>
      <xdr:row>33</xdr:row>
      <xdr:rowOff>17318</xdr:rowOff>
    </xdr:from>
    <xdr:to>
      <xdr:col>10</xdr:col>
      <xdr:colOff>418533</xdr:colOff>
      <xdr:row>54</xdr:row>
      <xdr:rowOff>58603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692727</xdr:colOff>
      <xdr:row>32</xdr:row>
      <xdr:rowOff>155863</xdr:rowOff>
    </xdr:from>
    <xdr:to>
      <xdr:col>12</xdr:col>
      <xdr:colOff>1440306</xdr:colOff>
      <xdr:row>53</xdr:row>
      <xdr:rowOff>160870</xdr:rowOff>
    </xdr:to>
    <xdr:graphicFrame macro="">
      <xdr:nvGraphicFramePr>
        <xdr:cNvPr id="36" name="Chart 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138545</xdr:colOff>
      <xdr:row>32</xdr:row>
      <xdr:rowOff>121227</xdr:rowOff>
    </xdr:from>
    <xdr:to>
      <xdr:col>16</xdr:col>
      <xdr:colOff>730260</xdr:colOff>
      <xdr:row>52</xdr:row>
      <xdr:rowOff>108245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1281545</xdr:colOff>
      <xdr:row>32</xdr:row>
      <xdr:rowOff>69272</xdr:rowOff>
    </xdr:from>
    <xdr:to>
      <xdr:col>18</xdr:col>
      <xdr:colOff>2462078</xdr:colOff>
      <xdr:row>52</xdr:row>
      <xdr:rowOff>56290</xdr:rowOff>
    </xdr:to>
    <xdr:graphicFrame macro="">
      <xdr:nvGraphicFramePr>
        <xdr:cNvPr id="38" name="Chart 4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103909</xdr:colOff>
      <xdr:row>57</xdr:row>
      <xdr:rowOff>155865</xdr:rowOff>
    </xdr:from>
    <xdr:to>
      <xdr:col>10</xdr:col>
      <xdr:colOff>366578</xdr:colOff>
      <xdr:row>77</xdr:row>
      <xdr:rowOff>142523</xdr:rowOff>
    </xdr:to>
    <xdr:graphicFrame macro="">
      <xdr:nvGraphicFramePr>
        <xdr:cNvPr id="39" name="Chart 5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588818</xdr:colOff>
      <xdr:row>58</xdr:row>
      <xdr:rowOff>34636</xdr:rowOff>
    </xdr:from>
    <xdr:to>
      <xdr:col>12</xdr:col>
      <xdr:colOff>1336397</xdr:colOff>
      <xdr:row>78</xdr:row>
      <xdr:rowOff>21295</xdr:rowOff>
    </xdr:to>
    <xdr:graphicFrame macro="">
      <xdr:nvGraphicFramePr>
        <xdr:cNvPr id="40" name="Chart 6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294409</xdr:colOff>
      <xdr:row>57</xdr:row>
      <xdr:rowOff>155864</xdr:rowOff>
    </xdr:from>
    <xdr:to>
      <xdr:col>16</xdr:col>
      <xdr:colOff>886124</xdr:colOff>
      <xdr:row>77</xdr:row>
      <xdr:rowOff>142883</xdr:rowOff>
    </xdr:to>
    <xdr:graphicFrame macro="">
      <xdr:nvGraphicFramePr>
        <xdr:cNvPr id="41" name="Chart 7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33</xdr:row>
      <xdr:rowOff>133350</xdr:rowOff>
    </xdr:from>
    <xdr:to>
      <xdr:col>8</xdr:col>
      <xdr:colOff>920760</xdr:colOff>
      <xdr:row>54</xdr:row>
      <xdr:rowOff>131340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1352550</xdr:colOff>
      <xdr:row>33</xdr:row>
      <xdr:rowOff>133350</xdr:rowOff>
    </xdr:from>
    <xdr:to>
      <xdr:col>10</xdr:col>
      <xdr:colOff>2654310</xdr:colOff>
      <xdr:row>54</xdr:row>
      <xdr:rowOff>112380</xdr:rowOff>
    </xdr:to>
    <xdr:graphicFrame macro="">
      <xdr:nvGraphicFramePr>
        <xdr:cNvPr id="43" name="Chart 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247650</xdr:colOff>
      <xdr:row>33</xdr:row>
      <xdr:rowOff>152400</xdr:rowOff>
    </xdr:from>
    <xdr:to>
      <xdr:col>14</xdr:col>
      <xdr:colOff>863610</xdr:colOff>
      <xdr:row>53</xdr:row>
      <xdr:rowOff>141150</xdr:rowOff>
    </xdr:to>
    <xdr:graphicFrame macro="">
      <xdr:nvGraphicFramePr>
        <xdr:cNvPr id="44" name="Chart 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1104900</xdr:colOff>
      <xdr:row>34</xdr:row>
      <xdr:rowOff>76200</xdr:rowOff>
    </xdr:from>
    <xdr:to>
      <xdr:col>17</xdr:col>
      <xdr:colOff>692160</xdr:colOff>
      <xdr:row>54</xdr:row>
      <xdr:rowOff>64950</xdr:rowOff>
    </xdr:to>
    <xdr:graphicFrame macro="">
      <xdr:nvGraphicFramePr>
        <xdr:cNvPr id="45" name="Chart 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228600</xdr:colOff>
      <xdr:row>59</xdr:row>
      <xdr:rowOff>76200</xdr:rowOff>
    </xdr:from>
    <xdr:to>
      <xdr:col>8</xdr:col>
      <xdr:colOff>977910</xdr:colOff>
      <xdr:row>79</xdr:row>
      <xdr:rowOff>64590</xdr:rowOff>
    </xdr:to>
    <xdr:graphicFrame macro="">
      <xdr:nvGraphicFramePr>
        <xdr:cNvPr id="46" name="Chart 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1485900</xdr:colOff>
      <xdr:row>58</xdr:row>
      <xdr:rowOff>152400</xdr:rowOff>
    </xdr:from>
    <xdr:to>
      <xdr:col>10</xdr:col>
      <xdr:colOff>2787660</xdr:colOff>
      <xdr:row>78</xdr:row>
      <xdr:rowOff>140790</xdr:rowOff>
    </xdr:to>
    <xdr:graphicFrame macro="">
      <xdr:nvGraphicFramePr>
        <xdr:cNvPr id="47" name="Chart 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419100</xdr:colOff>
      <xdr:row>58</xdr:row>
      <xdr:rowOff>152400</xdr:rowOff>
    </xdr:from>
    <xdr:to>
      <xdr:col>14</xdr:col>
      <xdr:colOff>1035060</xdr:colOff>
      <xdr:row>78</xdr:row>
      <xdr:rowOff>141150</xdr:rowOff>
    </xdr:to>
    <xdr:graphicFrame macro="">
      <xdr:nvGraphicFramePr>
        <xdr:cNvPr id="48" name="Chart 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3575537</xdr:colOff>
      <xdr:row>33</xdr:row>
      <xdr:rowOff>87924</xdr:rowOff>
    </xdr:from>
    <xdr:to>
      <xdr:col>7</xdr:col>
      <xdr:colOff>1097325</xdr:colOff>
      <xdr:row>52</xdr:row>
      <xdr:rowOff>123269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263769</xdr:colOff>
      <xdr:row>33</xdr:row>
      <xdr:rowOff>87924</xdr:rowOff>
    </xdr:from>
    <xdr:to>
      <xdr:col>10</xdr:col>
      <xdr:colOff>1624865</xdr:colOff>
      <xdr:row>53</xdr:row>
      <xdr:rowOff>34986</xdr:rowOff>
    </xdr:to>
    <xdr:graphicFrame macro="">
      <xdr:nvGraphicFramePr>
        <xdr:cNvPr id="50" name="Chart 2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2168769</xdr:colOff>
      <xdr:row>33</xdr:row>
      <xdr:rowOff>117231</xdr:rowOff>
    </xdr:from>
    <xdr:to>
      <xdr:col>13</xdr:col>
      <xdr:colOff>1830019</xdr:colOff>
      <xdr:row>53</xdr:row>
      <xdr:rowOff>101585</xdr:rowOff>
    </xdr:to>
    <xdr:graphicFrame macro="">
      <xdr:nvGraphicFramePr>
        <xdr:cNvPr id="51" name="Chart 3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556846</xdr:colOff>
      <xdr:row>34</xdr:row>
      <xdr:rowOff>1</xdr:rowOff>
    </xdr:from>
    <xdr:to>
      <xdr:col>17</xdr:col>
      <xdr:colOff>188788</xdr:colOff>
      <xdr:row>53</xdr:row>
      <xdr:rowOff>160199</xdr:rowOff>
    </xdr:to>
    <xdr:graphicFrame macro="">
      <xdr:nvGraphicFramePr>
        <xdr:cNvPr id="52" name="Chart 4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3311769</xdr:colOff>
      <xdr:row>57</xdr:row>
      <xdr:rowOff>146538</xdr:rowOff>
    </xdr:from>
    <xdr:to>
      <xdr:col>7</xdr:col>
      <xdr:colOff>833557</xdr:colOff>
      <xdr:row>77</xdr:row>
      <xdr:rowOff>131252</xdr:rowOff>
    </xdr:to>
    <xdr:graphicFrame macro="">
      <xdr:nvGraphicFramePr>
        <xdr:cNvPr id="53" name="Chart 5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439616</xdr:colOff>
      <xdr:row>56</xdr:row>
      <xdr:rowOff>146538</xdr:rowOff>
    </xdr:from>
    <xdr:to>
      <xdr:col>10</xdr:col>
      <xdr:colOff>1800712</xdr:colOff>
      <xdr:row>76</xdr:row>
      <xdr:rowOff>131251</xdr:rowOff>
    </xdr:to>
    <xdr:graphicFrame macro="">
      <xdr:nvGraphicFramePr>
        <xdr:cNvPr id="54" name="Chart 6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2696308</xdr:colOff>
      <xdr:row>59</xdr:row>
      <xdr:rowOff>1</xdr:rowOff>
    </xdr:from>
    <xdr:to>
      <xdr:col>14</xdr:col>
      <xdr:colOff>511173</xdr:colOff>
      <xdr:row>78</xdr:row>
      <xdr:rowOff>160201</xdr:rowOff>
    </xdr:to>
    <xdr:graphicFrame macro="">
      <xdr:nvGraphicFramePr>
        <xdr:cNvPr id="55" name="Chart 7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291600</xdr:colOff>
      <xdr:row>22</xdr:row>
      <xdr:rowOff>158040</xdr:rowOff>
    </xdr:to>
    <xdr:graphicFrame macro="">
      <xdr:nvGraphicFramePr>
        <xdr:cNvPr id="56" name="Chart 1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29</xdr:row>
      <xdr:rowOff>180720</xdr:rowOff>
    </xdr:from>
    <xdr:to>
      <xdr:col>22</xdr:col>
      <xdr:colOff>291600</xdr:colOff>
      <xdr:row>51</xdr:row>
      <xdr:rowOff>133920</xdr:rowOff>
    </xdr:to>
    <xdr:graphicFrame macro="">
      <xdr:nvGraphicFramePr>
        <xdr:cNvPr id="57" name="Chart 2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57</xdr:row>
      <xdr:rowOff>156960</xdr:rowOff>
    </xdr:from>
    <xdr:to>
      <xdr:col>22</xdr:col>
      <xdr:colOff>291600</xdr:colOff>
      <xdr:row>79</xdr:row>
      <xdr:rowOff>109800</xdr:rowOff>
    </xdr:to>
    <xdr:graphicFrame macro="">
      <xdr:nvGraphicFramePr>
        <xdr:cNvPr id="58" name="Chart 3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534738</xdr:colOff>
      <xdr:row>82</xdr:row>
      <xdr:rowOff>172585</xdr:rowOff>
    </xdr:from>
    <xdr:to>
      <xdr:col>22</xdr:col>
      <xdr:colOff>238127</xdr:colOff>
      <xdr:row>104</xdr:row>
      <xdr:rowOff>101665</xdr:rowOff>
    </xdr:to>
    <xdr:graphicFrame macro="">
      <xdr:nvGraphicFramePr>
        <xdr:cNvPr id="59" name="Chart 4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548106</xdr:colOff>
      <xdr:row>108</xdr:row>
      <xdr:rowOff>41877</xdr:rowOff>
    </xdr:from>
    <xdr:to>
      <xdr:col>22</xdr:col>
      <xdr:colOff>251495</xdr:colOff>
      <xdr:row>129</xdr:row>
      <xdr:rowOff>168507</xdr:rowOff>
    </xdr:to>
    <xdr:graphicFrame macro="">
      <xdr:nvGraphicFramePr>
        <xdr:cNvPr id="60" name="Chart 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454527</xdr:colOff>
      <xdr:row>132</xdr:row>
      <xdr:rowOff>137714</xdr:rowOff>
    </xdr:from>
    <xdr:to>
      <xdr:col>22</xdr:col>
      <xdr:colOff>157916</xdr:colOff>
      <xdr:row>154</xdr:row>
      <xdr:rowOff>90914</xdr:rowOff>
    </xdr:to>
    <xdr:graphicFrame macro="">
      <xdr:nvGraphicFramePr>
        <xdr:cNvPr id="61" name="Chart 6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200527</xdr:colOff>
      <xdr:row>132</xdr:row>
      <xdr:rowOff>140689</xdr:rowOff>
    </xdr:from>
    <xdr:to>
      <xdr:col>33</xdr:col>
      <xdr:colOff>492128</xdr:colOff>
      <xdr:row>154</xdr:row>
      <xdr:rowOff>144387</xdr:rowOff>
    </xdr:to>
    <xdr:graphicFrame macro="">
      <xdr:nvGraphicFramePr>
        <xdr:cNvPr id="62" name="Chart 7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548106</xdr:colOff>
      <xdr:row>163</xdr:row>
      <xdr:rowOff>140690</xdr:rowOff>
    </xdr:from>
    <xdr:to>
      <xdr:col>21</xdr:col>
      <xdr:colOff>290015</xdr:colOff>
      <xdr:row>185</xdr:row>
      <xdr:rowOff>49963</xdr:rowOff>
    </xdr:to>
    <xdr:graphicFrame macro="">
      <xdr:nvGraphicFramePr>
        <xdr:cNvPr id="63" name="Chart 8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521368</xdr:colOff>
      <xdr:row>199</xdr:row>
      <xdr:rowOff>62736</xdr:rowOff>
    </xdr:from>
    <xdr:to>
      <xdr:col>22</xdr:col>
      <xdr:colOff>224757</xdr:colOff>
      <xdr:row>221</xdr:row>
      <xdr:rowOff>22866</xdr:rowOff>
    </xdr:to>
    <xdr:graphicFrame macro="">
      <xdr:nvGraphicFramePr>
        <xdr:cNvPr id="64" name="Chart 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147052</xdr:colOff>
      <xdr:row>225</xdr:row>
      <xdr:rowOff>65714</xdr:rowOff>
    </xdr:from>
    <xdr:to>
      <xdr:col>22</xdr:col>
      <xdr:colOff>438652</xdr:colOff>
      <xdr:row>247</xdr:row>
      <xdr:rowOff>25844</xdr:rowOff>
    </xdr:to>
    <xdr:graphicFrame macro="">
      <xdr:nvGraphicFramePr>
        <xdr:cNvPr id="65" name="Chart 10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255</xdr:row>
      <xdr:rowOff>0</xdr:rowOff>
    </xdr:from>
    <xdr:to>
      <xdr:col>15</xdr:col>
      <xdr:colOff>0</xdr:colOff>
      <xdr:row>275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7D6CB89F-94D9-4D1E-BC4A-433A38FC1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255</xdr:row>
      <xdr:rowOff>0</xdr:rowOff>
    </xdr:from>
    <xdr:to>
      <xdr:col>23</xdr:col>
      <xdr:colOff>0</xdr:colOff>
      <xdr:row>275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636C5547-AEF3-48FE-8A4C-D0E8215D7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opLeftCell="G27" zoomScale="46" zoomScaleNormal="10" workbookViewId="0">
      <selection activeCell="L81" sqref="L81"/>
    </sheetView>
  </sheetViews>
  <sheetFormatPr defaultColWidth="8.77734375" defaultRowHeight="14.25" customHeight="1" x14ac:dyDescent="0.3"/>
  <cols>
    <col min="1" max="1" width="23.77734375" style="1" customWidth="1"/>
    <col min="2" max="6" width="27.44140625" style="1" customWidth="1"/>
    <col min="7" max="7" width="7.44140625" style="1" customWidth="1"/>
    <col min="8" max="8" width="17.6640625" style="1" customWidth="1"/>
    <col min="9" max="9" width="34.33203125" style="1" customWidth="1"/>
    <col min="10" max="10" width="37.88671875" style="1" customWidth="1"/>
    <col min="11" max="11" width="42" style="1" customWidth="1"/>
    <col min="12" max="12" width="23.77734375" style="1" customWidth="1"/>
    <col min="13" max="13" width="31.33203125" style="1" customWidth="1"/>
    <col min="14" max="14" width="27" style="1" customWidth="1"/>
    <col min="15" max="15" width="23.77734375" style="1" customWidth="1"/>
    <col min="16" max="16" width="34.21875" style="1" customWidth="1"/>
    <col min="17" max="17" width="39.109375" style="1" customWidth="1"/>
    <col min="18" max="18" width="36.21875" style="1" customWidth="1"/>
    <col min="19" max="19" width="27.21875" style="1" customWidth="1"/>
    <col min="20" max="20" width="8.5546875" customWidth="1"/>
    <col min="21" max="16384" width="8.77734375" style="1"/>
  </cols>
  <sheetData>
    <row r="1" spans="1:19" ht="17.25" customHeight="1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/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</row>
    <row r="2" spans="1:19" ht="17.25" customHeight="1" x14ac:dyDescent="0.3">
      <c r="A2" s="26">
        <v>36526</v>
      </c>
      <c r="B2" s="2">
        <v>4</v>
      </c>
      <c r="C2" s="2">
        <v>10250.951999999999</v>
      </c>
      <c r="D2" s="2">
        <v>14096.032999999999</v>
      </c>
      <c r="E2" s="2">
        <v>172.19200000000001</v>
      </c>
      <c r="F2" s="2">
        <v>282398</v>
      </c>
      <c r="G2" s="3"/>
      <c r="H2" s="32">
        <f t="shared" ref="H2:H26" si="0">C2/D2*100</f>
        <v>72.722247457848596</v>
      </c>
      <c r="I2" s="32">
        <f t="shared" ref="I2:I26" si="1">H2/$H$2*100</f>
        <v>100</v>
      </c>
      <c r="J2" s="32">
        <f t="shared" ref="J2:J26" si="2">(D2*1000000000)/(F2*1000)</f>
        <v>49915.484528927256</v>
      </c>
      <c r="K2" s="32">
        <f t="shared" ref="K2:K26" si="3">J2/$J$2*100</f>
        <v>100</v>
      </c>
      <c r="L2" s="32"/>
      <c r="M2" s="32">
        <f t="array" ref="M2">TREND($D$2:$D$26,$A$2:$A$26,A2)</f>
        <v>13714.535107090149</v>
      </c>
      <c r="N2" s="32">
        <f t="shared" ref="N2:N26" si="4">(D2-M2)/M2*100</f>
        <v>2.7817048841314618</v>
      </c>
      <c r="O2" s="32"/>
      <c r="P2" s="32"/>
      <c r="Q2" s="32"/>
      <c r="R2" s="32">
        <f t="shared" ref="R2:R26" si="5">AVERAGE($B$2:$B$26)</f>
        <v>5.7039999999999997</v>
      </c>
      <c r="S2" s="32">
        <f t="shared" ref="S2:S26" si="6">B2-R2</f>
        <v>-1.7039999999999997</v>
      </c>
    </row>
    <row r="3" spans="1:19" ht="17.25" customHeight="1" x14ac:dyDescent="0.3">
      <c r="A3" s="26">
        <v>36892</v>
      </c>
      <c r="B3" s="2">
        <v>4.7</v>
      </c>
      <c r="C3" s="2">
        <v>10581.929</v>
      </c>
      <c r="D3" s="2">
        <v>14230.726000000001</v>
      </c>
      <c r="E3" s="2">
        <v>177.042</v>
      </c>
      <c r="F3" s="2">
        <v>285225</v>
      </c>
      <c r="G3" s="3"/>
      <c r="H3" s="32">
        <f t="shared" si="0"/>
        <v>74.359726973873279</v>
      </c>
      <c r="I3" s="32">
        <f t="shared" si="1"/>
        <v>102.25168992057596</v>
      </c>
      <c r="J3" s="32">
        <f t="shared" si="2"/>
        <v>49892.982732930141</v>
      </c>
      <c r="K3" s="32">
        <f t="shared" si="3"/>
        <v>99.954920209210684</v>
      </c>
      <c r="L3" s="32">
        <f t="shared" ref="L3:L26" si="7">(D3-D2)/D2*100</f>
        <v>0.95553834188669351</v>
      </c>
      <c r="M3" s="32">
        <f t="array" ref="M3">TREND($D$2:$D$26,$A$2:$A$26,A3)</f>
        <v>14076.494055222403</v>
      </c>
      <c r="N3" s="32">
        <f t="shared" si="4"/>
        <v>1.0956701588658495</v>
      </c>
      <c r="O3" s="32">
        <f t="shared" ref="O3:O26" si="8">(E3-E2)/E2*100</f>
        <v>2.8166233042185436</v>
      </c>
      <c r="P3" s="32">
        <f t="shared" ref="P3:P26" si="9">(H3-H2)/H2*100</f>
        <v>2.2516899205759588</v>
      </c>
      <c r="Q3" s="32">
        <f t="shared" ref="Q3:Q26" si="10">B3-B2</f>
        <v>0.70000000000000018</v>
      </c>
      <c r="R3" s="32">
        <f t="shared" si="5"/>
        <v>5.7039999999999997</v>
      </c>
      <c r="S3" s="32">
        <f t="shared" si="6"/>
        <v>-1.0039999999999996</v>
      </c>
    </row>
    <row r="4" spans="1:19" ht="17.25" customHeight="1" x14ac:dyDescent="0.3">
      <c r="A4" s="26">
        <v>37257</v>
      </c>
      <c r="B4" s="2">
        <v>5.8</v>
      </c>
      <c r="C4" s="2">
        <v>10929.108</v>
      </c>
      <c r="D4" s="2">
        <v>14472.712</v>
      </c>
      <c r="E4" s="2">
        <v>179.86699999999999</v>
      </c>
      <c r="F4" s="2">
        <v>287955</v>
      </c>
      <c r="G4" s="3"/>
      <c r="H4" s="32">
        <f t="shared" si="0"/>
        <v>75.515273156820925</v>
      </c>
      <c r="I4" s="32">
        <f t="shared" si="1"/>
        <v>103.84067571700287</v>
      </c>
      <c r="J4" s="32">
        <f t="shared" si="2"/>
        <v>50260.325398065666</v>
      </c>
      <c r="K4" s="32">
        <f t="shared" si="3"/>
        <v>100.69084948767464</v>
      </c>
      <c r="L4" s="32">
        <f t="shared" si="7"/>
        <v>1.7004473278453887</v>
      </c>
      <c r="M4" s="32">
        <f t="array" ref="M4">TREND($D$2:$D$26,$A$2:$A$26,A4)</f>
        <v>14437.464044479984</v>
      </c>
      <c r="N4" s="32">
        <f t="shared" si="4"/>
        <v>0.24414229127373605</v>
      </c>
      <c r="O4" s="32">
        <f t="shared" si="8"/>
        <v>1.5956665649958703</v>
      </c>
      <c r="P4" s="32">
        <f t="shared" si="9"/>
        <v>1.5539946554048718</v>
      </c>
      <c r="Q4" s="32">
        <f t="shared" si="10"/>
        <v>1.0999999999999996</v>
      </c>
      <c r="R4" s="32">
        <f t="shared" si="5"/>
        <v>5.7039999999999997</v>
      </c>
      <c r="S4" s="32">
        <f t="shared" si="6"/>
        <v>9.6000000000000085E-2</v>
      </c>
    </row>
    <row r="5" spans="1:19" ht="17.25" customHeight="1" x14ac:dyDescent="0.3">
      <c r="A5" s="26">
        <v>37622</v>
      </c>
      <c r="B5" s="2">
        <v>6</v>
      </c>
      <c r="C5" s="2">
        <v>11456.45</v>
      </c>
      <c r="D5" s="2">
        <v>14877.313</v>
      </c>
      <c r="E5" s="2">
        <v>184</v>
      </c>
      <c r="F5" s="2">
        <v>290626</v>
      </c>
      <c r="G5" s="3"/>
      <c r="H5" s="32">
        <f t="shared" si="0"/>
        <v>77.006177123516864</v>
      </c>
      <c r="I5" s="32">
        <f t="shared" si="1"/>
        <v>105.89081033029311</v>
      </c>
      <c r="J5" s="32">
        <f t="shared" si="2"/>
        <v>51190.578268978003</v>
      </c>
      <c r="K5" s="32">
        <f t="shared" si="3"/>
        <v>102.55450538462027</v>
      </c>
      <c r="L5" s="32">
        <f t="shared" si="7"/>
        <v>2.7956128747673592</v>
      </c>
      <c r="M5" s="32">
        <f t="array" ref="M5">TREND($D$2:$D$26,$A$2:$A$26,A5)</f>
        <v>14798.434033737558</v>
      </c>
      <c r="N5" s="32">
        <f t="shared" si="4"/>
        <v>0.53302238657558931</v>
      </c>
      <c r="O5" s="32">
        <f t="shared" si="8"/>
        <v>2.297808936603162</v>
      </c>
      <c r="P5" s="32">
        <f t="shared" si="9"/>
        <v>1.9743078510751209</v>
      </c>
      <c r="Q5" s="32">
        <f t="shared" si="10"/>
        <v>0.20000000000000018</v>
      </c>
      <c r="R5" s="32">
        <f t="shared" si="5"/>
        <v>5.7039999999999997</v>
      </c>
      <c r="S5" s="32">
        <f t="shared" si="6"/>
        <v>0.29600000000000026</v>
      </c>
    </row>
    <row r="6" spans="1:19" ht="17.25" customHeight="1" x14ac:dyDescent="0.3">
      <c r="A6" s="26">
        <v>37987</v>
      </c>
      <c r="B6" s="2">
        <v>5.5</v>
      </c>
      <c r="C6" s="2">
        <v>12217.196</v>
      </c>
      <c r="D6" s="2">
        <v>15449.757</v>
      </c>
      <c r="E6" s="2">
        <v>188.90799999999999</v>
      </c>
      <c r="F6" s="2">
        <v>293262</v>
      </c>
      <c r="G6" s="3"/>
      <c r="H6" s="32">
        <f t="shared" si="0"/>
        <v>79.076945999862659</v>
      </c>
      <c r="I6" s="32">
        <f t="shared" si="1"/>
        <v>108.73831429054415</v>
      </c>
      <c r="J6" s="32">
        <f t="shared" si="2"/>
        <v>52682.437547312642</v>
      </c>
      <c r="K6" s="32">
        <f t="shared" si="3"/>
        <v>105.54327588823038</v>
      </c>
      <c r="L6" s="32">
        <f t="shared" si="7"/>
        <v>3.8477647139641378</v>
      </c>
      <c r="M6" s="32">
        <f t="array" ref="M6">TREND($D$2:$D$26,$A$2:$A$26,A6)</f>
        <v>15159.404022995139</v>
      </c>
      <c r="N6" s="32">
        <f t="shared" si="4"/>
        <v>1.9153324006961452</v>
      </c>
      <c r="O6" s="32">
        <f t="shared" si="8"/>
        <v>2.6673913043478192</v>
      </c>
      <c r="P6" s="32">
        <f t="shared" si="9"/>
        <v>2.689094503450431</v>
      </c>
      <c r="Q6" s="32">
        <f t="shared" si="10"/>
        <v>-0.5</v>
      </c>
      <c r="R6" s="32">
        <f t="shared" si="5"/>
        <v>5.7039999999999997</v>
      </c>
      <c r="S6" s="32">
        <f t="shared" si="6"/>
        <v>-0.20399999999999974</v>
      </c>
    </row>
    <row r="7" spans="1:19" ht="17.25" customHeight="1" x14ac:dyDescent="0.3">
      <c r="A7" s="26">
        <v>38353</v>
      </c>
      <c r="B7" s="2">
        <v>5.0999999999999996</v>
      </c>
      <c r="C7" s="2">
        <v>13039.197</v>
      </c>
      <c r="D7" s="2">
        <v>15987.958000000001</v>
      </c>
      <c r="E7" s="2">
        <v>195.267</v>
      </c>
      <c r="F7" s="2">
        <v>295993</v>
      </c>
      <c r="G7" s="3"/>
      <c r="H7" s="32">
        <f t="shared" si="0"/>
        <v>81.556362607407394</v>
      </c>
      <c r="I7" s="32">
        <f t="shared" si="1"/>
        <v>112.14774770908895</v>
      </c>
      <c r="J7" s="32">
        <f t="shared" si="2"/>
        <v>54014.648995077587</v>
      </c>
      <c r="K7" s="32">
        <f t="shared" si="3"/>
        <v>108.21221010841788</v>
      </c>
      <c r="L7" s="32">
        <f t="shared" si="7"/>
        <v>3.4835564080393038</v>
      </c>
      <c r="M7" s="32">
        <f t="array" ref="M7">TREND($D$2:$D$26,$A$2:$A$26,A7)</f>
        <v>15521.362971127393</v>
      </c>
      <c r="N7" s="32">
        <f t="shared" si="4"/>
        <v>3.0061472677403409</v>
      </c>
      <c r="O7" s="32">
        <f t="shared" si="8"/>
        <v>3.3661888326592884</v>
      </c>
      <c r="P7" s="32">
        <f t="shared" si="9"/>
        <v>3.1354481084146082</v>
      </c>
      <c r="Q7" s="32">
        <f t="shared" si="10"/>
        <v>-0.40000000000000036</v>
      </c>
      <c r="R7" s="32">
        <f t="shared" si="5"/>
        <v>5.7039999999999997</v>
      </c>
      <c r="S7" s="32">
        <f t="shared" si="6"/>
        <v>-0.60400000000000009</v>
      </c>
    </row>
    <row r="8" spans="1:19" ht="17.25" customHeight="1" x14ac:dyDescent="0.3">
      <c r="A8" s="26">
        <v>38718</v>
      </c>
      <c r="B8" s="2">
        <v>4.5999999999999996</v>
      </c>
      <c r="C8" s="2">
        <v>13815.583000000001</v>
      </c>
      <c r="D8" s="2">
        <v>16433.148000000001</v>
      </c>
      <c r="E8" s="2">
        <v>201.55799999999999</v>
      </c>
      <c r="F8" s="2">
        <v>298818</v>
      </c>
      <c r="G8" s="3"/>
      <c r="H8" s="32">
        <f t="shared" si="0"/>
        <v>84.071432935430266</v>
      </c>
      <c r="I8" s="32">
        <f t="shared" si="1"/>
        <v>115.6062083809496</v>
      </c>
      <c r="J8" s="32">
        <f t="shared" si="2"/>
        <v>54993.835712708074</v>
      </c>
      <c r="K8" s="32">
        <f t="shared" si="3"/>
        <v>110.17389940557982</v>
      </c>
      <c r="L8" s="32">
        <f t="shared" si="7"/>
        <v>2.7845332093066575</v>
      </c>
      <c r="M8" s="32">
        <f t="array" ref="M8">TREND($D$2:$D$26,$A$2:$A$26,A8)</f>
        <v>15882.332960384967</v>
      </c>
      <c r="N8" s="32">
        <f t="shared" si="4"/>
        <v>3.4680990569138843</v>
      </c>
      <c r="O8" s="32">
        <f t="shared" si="8"/>
        <v>3.2217425371414512</v>
      </c>
      <c r="P8" s="32">
        <f t="shared" si="9"/>
        <v>3.0838431823275556</v>
      </c>
      <c r="Q8" s="32">
        <f t="shared" si="10"/>
        <v>-0.5</v>
      </c>
      <c r="R8" s="32">
        <f t="shared" si="5"/>
        <v>5.7039999999999997</v>
      </c>
      <c r="S8" s="32">
        <f t="shared" si="6"/>
        <v>-1.1040000000000001</v>
      </c>
    </row>
    <row r="9" spans="1:19" ht="17.25" customHeight="1" x14ac:dyDescent="0.3">
      <c r="A9" s="26">
        <v>39083</v>
      </c>
      <c r="B9" s="2">
        <v>4.5999999999999996</v>
      </c>
      <c r="C9" s="2">
        <v>14474.227000000001</v>
      </c>
      <c r="D9" s="2">
        <v>16762.446</v>
      </c>
      <c r="E9" s="2">
        <v>207.34399999999999</v>
      </c>
      <c r="F9" s="2">
        <v>301696</v>
      </c>
      <c r="G9" s="3"/>
      <c r="H9" s="32">
        <f t="shared" si="0"/>
        <v>86.349134249261709</v>
      </c>
      <c r="I9" s="32">
        <f t="shared" si="1"/>
        <v>118.73826410454593</v>
      </c>
      <c r="J9" s="32">
        <f t="shared" si="2"/>
        <v>55560.716747984727</v>
      </c>
      <c r="K9" s="32">
        <f t="shared" si="3"/>
        <v>111.30958112965111</v>
      </c>
      <c r="L9" s="32">
        <f t="shared" si="7"/>
        <v>2.0038643843528874</v>
      </c>
      <c r="M9" s="32">
        <f t="array" ref="M9">TREND($D$2:$D$26,$A$2:$A$26,A9)</f>
        <v>16243.302949642548</v>
      </c>
      <c r="N9" s="32">
        <f t="shared" si="4"/>
        <v>3.1960436369801033</v>
      </c>
      <c r="O9" s="32">
        <f t="shared" si="8"/>
        <v>2.8706377320671974</v>
      </c>
      <c r="P9" s="32">
        <f t="shared" si="9"/>
        <v>2.7092452623958434</v>
      </c>
      <c r="Q9" s="32">
        <f t="shared" si="10"/>
        <v>0</v>
      </c>
      <c r="R9" s="32">
        <f t="shared" si="5"/>
        <v>5.7039999999999997</v>
      </c>
      <c r="S9" s="32">
        <f t="shared" si="6"/>
        <v>-1.1040000000000001</v>
      </c>
    </row>
    <row r="10" spans="1:19" ht="17.25" customHeight="1" x14ac:dyDescent="0.3">
      <c r="A10" s="26">
        <v>39448</v>
      </c>
      <c r="B10" s="2">
        <v>5.8</v>
      </c>
      <c r="C10" s="2">
        <v>14769.861999999999</v>
      </c>
      <c r="D10" s="2">
        <v>16781.485000000001</v>
      </c>
      <c r="E10" s="2">
        <v>215.25399999999999</v>
      </c>
      <c r="F10" s="2">
        <v>304543</v>
      </c>
      <c r="G10" s="3"/>
      <c r="H10" s="32">
        <f t="shared" si="0"/>
        <v>88.01284272518194</v>
      </c>
      <c r="I10" s="32">
        <f t="shared" si="1"/>
        <v>121.02602133713773</v>
      </c>
      <c r="J10" s="32">
        <f t="shared" si="2"/>
        <v>55103.82770249193</v>
      </c>
      <c r="K10" s="32">
        <f t="shared" si="3"/>
        <v>110.3942558557313</v>
      </c>
      <c r="L10" s="32">
        <f t="shared" si="7"/>
        <v>0.11358127566824477</v>
      </c>
      <c r="M10" s="32">
        <f t="array" ref="M10">TREND($D$2:$D$26,$A$2:$A$26,A10)</f>
        <v>16604.272938900122</v>
      </c>
      <c r="N10" s="32">
        <f t="shared" si="4"/>
        <v>1.0672678156519013</v>
      </c>
      <c r="O10" s="32">
        <f t="shared" si="8"/>
        <v>3.8149162744038878</v>
      </c>
      <c r="P10" s="32">
        <f t="shared" si="9"/>
        <v>1.9267228216992294</v>
      </c>
      <c r="Q10" s="32">
        <f t="shared" si="10"/>
        <v>1.2000000000000002</v>
      </c>
      <c r="R10" s="32">
        <f t="shared" si="5"/>
        <v>5.7039999999999997</v>
      </c>
      <c r="S10" s="32">
        <f t="shared" si="6"/>
        <v>9.6000000000000085E-2</v>
      </c>
    </row>
    <row r="11" spans="1:19" ht="17.25" customHeight="1" x14ac:dyDescent="0.3">
      <c r="A11" s="26">
        <v>39814</v>
      </c>
      <c r="B11" s="2">
        <v>9.3000000000000007</v>
      </c>
      <c r="C11" s="2">
        <v>14478.066999999999</v>
      </c>
      <c r="D11" s="2">
        <v>16349.111000000001</v>
      </c>
      <c r="E11" s="2">
        <v>214.565</v>
      </c>
      <c r="F11" s="2">
        <v>307240</v>
      </c>
      <c r="G11" s="3"/>
      <c r="H11" s="32">
        <f t="shared" si="0"/>
        <v>88.555683547564129</v>
      </c>
      <c r="I11" s="32">
        <f t="shared" si="1"/>
        <v>121.77247904624089</v>
      </c>
      <c r="J11" s="32">
        <f t="shared" si="2"/>
        <v>53212.83361541466</v>
      </c>
      <c r="K11" s="32">
        <f t="shared" si="3"/>
        <v>106.60586412734612</v>
      </c>
      <c r="L11" s="32">
        <f t="shared" si="7"/>
        <v>-2.5764942733017953</v>
      </c>
      <c r="M11" s="32">
        <f t="array" ref="M11">TREND($D$2:$D$26,$A$2:$A$26,A11)</f>
        <v>16966.231887032383</v>
      </c>
      <c r="N11" s="32">
        <f t="shared" si="4"/>
        <v>-3.6373479458574414</v>
      </c>
      <c r="O11" s="32">
        <f t="shared" si="8"/>
        <v>-0.32008696702499978</v>
      </c>
      <c r="P11" s="32">
        <f t="shared" si="9"/>
        <v>0.61677455877342457</v>
      </c>
      <c r="Q11" s="32">
        <f t="shared" si="10"/>
        <v>3.5000000000000009</v>
      </c>
      <c r="R11" s="32">
        <f t="shared" si="5"/>
        <v>5.7039999999999997</v>
      </c>
      <c r="S11" s="32">
        <f t="shared" si="6"/>
        <v>3.596000000000001</v>
      </c>
    </row>
    <row r="12" spans="1:19" ht="17.25" customHeight="1" x14ac:dyDescent="0.3">
      <c r="A12" s="26">
        <v>40179</v>
      </c>
      <c r="B12" s="2">
        <v>9.6</v>
      </c>
      <c r="C12" s="2">
        <v>15048.971</v>
      </c>
      <c r="D12" s="2">
        <v>16789.751</v>
      </c>
      <c r="E12" s="2">
        <v>218.07599999999999</v>
      </c>
      <c r="F12" s="2">
        <v>309839</v>
      </c>
      <c r="G12" s="3"/>
      <c r="H12" s="32">
        <f t="shared" si="0"/>
        <v>89.631889120928591</v>
      </c>
      <c r="I12" s="32">
        <f t="shared" si="1"/>
        <v>123.25236396589804</v>
      </c>
      <c r="J12" s="32">
        <f t="shared" si="2"/>
        <v>54188.630224084118</v>
      </c>
      <c r="K12" s="32">
        <f t="shared" si="3"/>
        <v>108.56076172651487</v>
      </c>
      <c r="L12" s="32">
        <f t="shared" si="7"/>
        <v>2.6951924174959689</v>
      </c>
      <c r="M12" s="32">
        <f t="array" ref="M12">TREND($D$2:$D$26,$A$2:$A$26,A12)</f>
        <v>17327.201876289957</v>
      </c>
      <c r="N12" s="32">
        <f t="shared" si="4"/>
        <v>-3.1017753479596095</v>
      </c>
      <c r="O12" s="32">
        <f t="shared" si="8"/>
        <v>1.6363339780486079</v>
      </c>
      <c r="P12" s="32">
        <f t="shared" si="9"/>
        <v>1.2152868458029811</v>
      </c>
      <c r="Q12" s="32">
        <f t="shared" si="10"/>
        <v>0.29999999999999893</v>
      </c>
      <c r="R12" s="32">
        <f t="shared" si="5"/>
        <v>5.7039999999999997</v>
      </c>
      <c r="S12" s="32">
        <f t="shared" si="6"/>
        <v>3.8959999999999999</v>
      </c>
    </row>
    <row r="13" spans="1:19" ht="17.25" customHeight="1" x14ac:dyDescent="0.3">
      <c r="A13" s="26">
        <v>40544</v>
      </c>
      <c r="B13" s="2">
        <v>8.9</v>
      </c>
      <c r="C13" s="2">
        <v>15599.732</v>
      </c>
      <c r="D13" s="2">
        <v>17052.411</v>
      </c>
      <c r="E13" s="2">
        <v>224.923</v>
      </c>
      <c r="F13" s="2">
        <v>312295</v>
      </c>
      <c r="G13" s="3"/>
      <c r="H13" s="32">
        <f t="shared" si="0"/>
        <v>91.481093201424713</v>
      </c>
      <c r="I13" s="32">
        <f t="shared" si="1"/>
        <v>125.79519527975143</v>
      </c>
      <c r="J13" s="32">
        <f t="shared" si="2"/>
        <v>54603.53511903809</v>
      </c>
      <c r="K13" s="32">
        <f t="shared" si="3"/>
        <v>109.39197652663071</v>
      </c>
      <c r="L13" s="32">
        <f t="shared" si="7"/>
        <v>1.5644067621967701</v>
      </c>
      <c r="M13" s="32">
        <f t="array" ref="M13">TREND($D$2:$D$26,$A$2:$A$26,A13)</f>
        <v>17688.171865547538</v>
      </c>
      <c r="N13" s="32">
        <f t="shared" si="4"/>
        <v>-3.594271190828108</v>
      </c>
      <c r="O13" s="32">
        <f t="shared" si="8"/>
        <v>3.1397311029182529</v>
      </c>
      <c r="P13" s="32">
        <f t="shared" si="9"/>
        <v>2.0631095680703915</v>
      </c>
      <c r="Q13" s="32">
        <f t="shared" si="10"/>
        <v>-0.69999999999999929</v>
      </c>
      <c r="R13" s="32">
        <f t="shared" si="5"/>
        <v>5.7039999999999997</v>
      </c>
      <c r="S13" s="32">
        <f t="shared" si="6"/>
        <v>3.1960000000000006</v>
      </c>
    </row>
    <row r="14" spans="1:19" ht="17.25" customHeight="1" x14ac:dyDescent="0.3">
      <c r="A14" s="26">
        <v>40909</v>
      </c>
      <c r="B14" s="2">
        <v>8.1</v>
      </c>
      <c r="C14" s="2">
        <v>16253.97</v>
      </c>
      <c r="D14" s="2">
        <v>17442.758999999998</v>
      </c>
      <c r="E14" s="2">
        <v>229.58600000000001</v>
      </c>
      <c r="F14" s="2">
        <v>314725</v>
      </c>
      <c r="G14" s="3"/>
      <c r="H14" s="32">
        <f t="shared" si="0"/>
        <v>93.184627500729675</v>
      </c>
      <c r="I14" s="32">
        <f t="shared" si="1"/>
        <v>128.13771680357036</v>
      </c>
      <c r="J14" s="32">
        <f t="shared" si="2"/>
        <v>55422.22257526411</v>
      </c>
      <c r="K14" s="32">
        <f t="shared" si="3"/>
        <v>111.03212379546383</v>
      </c>
      <c r="L14" s="32">
        <f t="shared" si="7"/>
        <v>2.2891073878057369</v>
      </c>
      <c r="M14" s="32">
        <f t="array" ref="M14">TREND($D$2:$D$26,$A$2:$A$26,A14)</f>
        <v>18049.141854805112</v>
      </c>
      <c r="N14" s="32">
        <f t="shared" si="4"/>
        <v>-3.3596215248520513</v>
      </c>
      <c r="O14" s="32">
        <f t="shared" si="8"/>
        <v>2.0731539237872565</v>
      </c>
      <c r="P14" s="32">
        <f t="shared" si="9"/>
        <v>1.8621709029581557</v>
      </c>
      <c r="Q14" s="32">
        <f t="shared" si="10"/>
        <v>-0.80000000000000071</v>
      </c>
      <c r="R14" s="32">
        <f t="shared" si="5"/>
        <v>5.7039999999999997</v>
      </c>
      <c r="S14" s="32">
        <f t="shared" si="6"/>
        <v>2.3959999999999999</v>
      </c>
    </row>
    <row r="15" spans="1:19" ht="17.25" customHeight="1" x14ac:dyDescent="0.3">
      <c r="A15" s="26">
        <v>41275</v>
      </c>
      <c r="B15" s="2">
        <v>7.4</v>
      </c>
      <c r="C15" s="2">
        <v>16880.683000000001</v>
      </c>
      <c r="D15" s="2">
        <v>17812.167000000001</v>
      </c>
      <c r="E15" s="2">
        <v>232.952</v>
      </c>
      <c r="F15" s="2">
        <v>317099</v>
      </c>
      <c r="G15" s="3"/>
      <c r="H15" s="32">
        <f t="shared" si="0"/>
        <v>94.770518376568106</v>
      </c>
      <c r="I15" s="32">
        <f t="shared" si="1"/>
        <v>130.31846744216639</v>
      </c>
      <c r="J15" s="32">
        <f t="shared" si="2"/>
        <v>56172.258506018625</v>
      </c>
      <c r="K15" s="32">
        <f t="shared" si="3"/>
        <v>112.53473553575427</v>
      </c>
      <c r="L15" s="32">
        <f t="shared" si="7"/>
        <v>2.1178300978646964</v>
      </c>
      <c r="M15" s="32">
        <f t="array" ref="M15">TREND($D$2:$D$26,$A$2:$A$26,A15)</f>
        <v>18411.100802937366</v>
      </c>
      <c r="N15" s="32">
        <f t="shared" si="4"/>
        <v>-3.2531123985905777</v>
      </c>
      <c r="O15" s="32">
        <f t="shared" si="8"/>
        <v>1.4661172719590851</v>
      </c>
      <c r="P15" s="32">
        <f t="shared" si="9"/>
        <v>1.7018803620007086</v>
      </c>
      <c r="Q15" s="32">
        <f t="shared" si="10"/>
        <v>-0.69999999999999929</v>
      </c>
      <c r="R15" s="32">
        <f t="shared" si="5"/>
        <v>5.7039999999999997</v>
      </c>
      <c r="S15" s="32">
        <f t="shared" si="6"/>
        <v>1.6960000000000006</v>
      </c>
    </row>
    <row r="16" spans="1:19" ht="17.25" customHeight="1" x14ac:dyDescent="0.3">
      <c r="A16" s="26">
        <v>41640</v>
      </c>
      <c r="B16" s="2">
        <v>6.2</v>
      </c>
      <c r="C16" s="2">
        <v>17608.137999999999</v>
      </c>
      <c r="D16" s="2">
        <v>18261.714</v>
      </c>
      <c r="E16" s="2">
        <v>236.715</v>
      </c>
      <c r="F16" s="2">
        <v>319600</v>
      </c>
      <c r="G16" s="3"/>
      <c r="H16" s="32">
        <f t="shared" si="0"/>
        <v>96.421058833798398</v>
      </c>
      <c r="I16" s="32">
        <f t="shared" si="1"/>
        <v>132.58811739789277</v>
      </c>
      <c r="J16" s="32">
        <f t="shared" si="2"/>
        <v>57139.28035043805</v>
      </c>
      <c r="K16" s="32">
        <f t="shared" si="3"/>
        <v>114.47205389206314</v>
      </c>
      <c r="L16" s="32">
        <f t="shared" si="7"/>
        <v>2.523819813726194</v>
      </c>
      <c r="M16" s="32">
        <f t="array" ref="M16">TREND($D$2:$D$26,$A$2:$A$26,A16)</f>
        <v>18772.070792194947</v>
      </c>
      <c r="N16" s="32">
        <f t="shared" si="4"/>
        <v>-2.718702682535926</v>
      </c>
      <c r="O16" s="32">
        <f t="shared" si="8"/>
        <v>1.6153542360658013</v>
      </c>
      <c r="P16" s="32">
        <f t="shared" si="9"/>
        <v>1.7416180532767733</v>
      </c>
      <c r="Q16" s="32">
        <f t="shared" si="10"/>
        <v>-1.2000000000000002</v>
      </c>
      <c r="R16" s="32">
        <f t="shared" si="5"/>
        <v>5.7039999999999997</v>
      </c>
      <c r="S16" s="32">
        <f t="shared" si="6"/>
        <v>0.49600000000000044</v>
      </c>
    </row>
    <row r="17" spans="1:19" ht="17.25" customHeight="1" x14ac:dyDescent="0.3">
      <c r="A17" s="26">
        <v>42005</v>
      </c>
      <c r="B17" s="2">
        <v>5.3</v>
      </c>
      <c r="C17" s="2">
        <v>18295.019</v>
      </c>
      <c r="D17" s="2">
        <v>18799.621999999999</v>
      </c>
      <c r="E17" s="2">
        <v>237.00200000000001</v>
      </c>
      <c r="F17" s="2">
        <v>322113</v>
      </c>
      <c r="G17" s="3"/>
      <c r="H17" s="32">
        <f t="shared" si="0"/>
        <v>97.315887521568257</v>
      </c>
      <c r="I17" s="32">
        <f t="shared" si="1"/>
        <v>133.81859186623004</v>
      </c>
      <c r="J17" s="32">
        <f t="shared" si="2"/>
        <v>58363.437675598318</v>
      </c>
      <c r="K17" s="32">
        <f t="shared" si="3"/>
        <v>116.92451395874014</v>
      </c>
      <c r="L17" s="32">
        <f t="shared" si="7"/>
        <v>2.9455504559977195</v>
      </c>
      <c r="M17" s="32">
        <f t="array" ref="M17">TREND($D$2:$D$26,$A$2:$A$26,A17)</f>
        <v>19133.040781452521</v>
      </c>
      <c r="N17" s="32">
        <f t="shared" si="4"/>
        <v>-1.7426335168622846</v>
      </c>
      <c r="O17" s="32">
        <f t="shared" si="8"/>
        <v>0.12124284477114088</v>
      </c>
      <c r="P17" s="32">
        <f t="shared" si="9"/>
        <v>0.92804279334069673</v>
      </c>
      <c r="Q17" s="32">
        <f t="shared" si="10"/>
        <v>-0.90000000000000036</v>
      </c>
      <c r="R17" s="32">
        <f t="shared" si="5"/>
        <v>5.7039999999999997</v>
      </c>
      <c r="S17" s="32">
        <f t="shared" si="6"/>
        <v>-0.40399999999999991</v>
      </c>
    </row>
    <row r="18" spans="1:19" ht="17.25" customHeight="1" x14ac:dyDescent="0.3">
      <c r="A18" s="26">
        <v>42370</v>
      </c>
      <c r="B18" s="2">
        <v>4.9000000000000004</v>
      </c>
      <c r="C18" s="2">
        <v>18804.913</v>
      </c>
      <c r="D18" s="2">
        <v>19141.671999999999</v>
      </c>
      <c r="E18" s="2">
        <v>240.005</v>
      </c>
      <c r="F18" s="2">
        <v>324609</v>
      </c>
      <c r="G18" s="3"/>
      <c r="H18" s="32">
        <f t="shared" si="0"/>
        <v>98.240702275119958</v>
      </c>
      <c r="I18" s="32">
        <f t="shared" si="1"/>
        <v>135.09030002416031</v>
      </c>
      <c r="J18" s="32">
        <f t="shared" si="2"/>
        <v>58968.395823898907</v>
      </c>
      <c r="K18" s="32">
        <f t="shared" si="3"/>
        <v>118.13647885101719</v>
      </c>
      <c r="L18" s="32">
        <f t="shared" si="7"/>
        <v>1.8194514762052094</v>
      </c>
      <c r="M18" s="32">
        <f t="array" ref="M18">TREND($D$2:$D$26,$A$2:$A$26,A18)</f>
        <v>19494.010770710101</v>
      </c>
      <c r="N18" s="32">
        <f t="shared" si="4"/>
        <v>-1.8074206219250402</v>
      </c>
      <c r="O18" s="32">
        <f t="shared" si="8"/>
        <v>1.2670779149542981</v>
      </c>
      <c r="P18" s="32">
        <f t="shared" si="9"/>
        <v>0.9503224777626702</v>
      </c>
      <c r="Q18" s="32">
        <f t="shared" si="10"/>
        <v>-0.39999999999999947</v>
      </c>
      <c r="R18" s="32">
        <f t="shared" si="5"/>
        <v>5.7039999999999997</v>
      </c>
      <c r="S18" s="32">
        <f t="shared" si="6"/>
        <v>-0.80399999999999938</v>
      </c>
    </row>
    <row r="19" spans="1:19" ht="17.25" customHeight="1" x14ac:dyDescent="0.3">
      <c r="A19" s="26">
        <v>42736</v>
      </c>
      <c r="B19" s="2">
        <v>4.4000000000000004</v>
      </c>
      <c r="C19" s="2">
        <v>19612.102999999999</v>
      </c>
      <c r="D19" s="2">
        <v>19612.102999999999</v>
      </c>
      <c r="E19" s="2">
        <v>245.12100000000001</v>
      </c>
      <c r="F19" s="2">
        <v>326860</v>
      </c>
      <c r="G19" s="3"/>
      <c r="H19" s="32">
        <f t="shared" si="0"/>
        <v>100</v>
      </c>
      <c r="I19" s="32">
        <f t="shared" si="1"/>
        <v>137.50950155653837</v>
      </c>
      <c r="J19" s="32">
        <f t="shared" si="2"/>
        <v>60001.538885149603</v>
      </c>
      <c r="K19" s="32">
        <f t="shared" si="3"/>
        <v>120.20626355009583</v>
      </c>
      <c r="L19" s="32">
        <f t="shared" si="7"/>
        <v>2.4576275259548934</v>
      </c>
      <c r="M19" s="32">
        <f t="array" ref="M19">TREND($D$2:$D$26,$A$2:$A$26,A19)</f>
        <v>19855.969718842356</v>
      </c>
      <c r="N19" s="32">
        <f t="shared" si="4"/>
        <v>-1.2281783377768711</v>
      </c>
      <c r="O19" s="32">
        <f t="shared" si="8"/>
        <v>2.1316222578696338</v>
      </c>
      <c r="P19" s="32">
        <f t="shared" si="9"/>
        <v>1.7908032863539443</v>
      </c>
      <c r="Q19" s="32">
        <f t="shared" si="10"/>
        <v>-0.5</v>
      </c>
      <c r="R19" s="32">
        <f t="shared" si="5"/>
        <v>5.7039999999999997</v>
      </c>
      <c r="S19" s="32">
        <f t="shared" si="6"/>
        <v>-1.3039999999999994</v>
      </c>
    </row>
    <row r="20" spans="1:19" ht="17.25" customHeight="1" x14ac:dyDescent="0.3">
      <c r="A20" s="26">
        <v>43101</v>
      </c>
      <c r="B20" s="2">
        <v>3.9</v>
      </c>
      <c r="C20" s="2">
        <v>20656.516</v>
      </c>
      <c r="D20" s="2">
        <v>20193.895</v>
      </c>
      <c r="E20" s="2">
        <v>251.1</v>
      </c>
      <c r="F20" s="2">
        <v>328795</v>
      </c>
      <c r="G20" s="3"/>
      <c r="H20" s="32">
        <f t="shared" si="0"/>
        <v>102.29089534237947</v>
      </c>
      <c r="I20" s="32">
        <f t="shared" si="1"/>
        <v>140.65970032302633</v>
      </c>
      <c r="J20" s="32">
        <f t="shared" si="2"/>
        <v>61417.889566447178</v>
      </c>
      <c r="K20" s="32">
        <f t="shared" si="3"/>
        <v>123.04376116163711</v>
      </c>
      <c r="L20" s="32">
        <f t="shared" si="7"/>
        <v>2.9664947201225758</v>
      </c>
      <c r="M20" s="32">
        <f t="array" ref="M20">TREND($D$2:$D$26,$A$2:$A$26,A20)</f>
        <v>20216.939708099937</v>
      </c>
      <c r="N20" s="32">
        <f t="shared" si="4"/>
        <v>-0.11398712383112888</v>
      </c>
      <c r="O20" s="32">
        <f t="shared" si="8"/>
        <v>2.4392034954165429</v>
      </c>
      <c r="P20" s="32">
        <f t="shared" si="9"/>
        <v>2.2908953423794713</v>
      </c>
      <c r="Q20" s="32">
        <f t="shared" si="10"/>
        <v>-0.50000000000000044</v>
      </c>
      <c r="R20" s="32">
        <f t="shared" si="5"/>
        <v>5.7039999999999997</v>
      </c>
      <c r="S20" s="32">
        <f t="shared" si="6"/>
        <v>-1.8039999999999998</v>
      </c>
    </row>
    <row r="21" spans="1:19" ht="17.25" customHeight="1" x14ac:dyDescent="0.3">
      <c r="A21" s="26">
        <v>43466</v>
      </c>
      <c r="B21" s="2">
        <v>3.7</v>
      </c>
      <c r="C21" s="2">
        <v>21539.982</v>
      </c>
      <c r="D21" s="2">
        <v>20715.671999999999</v>
      </c>
      <c r="E21" s="2">
        <v>255.65299999999999</v>
      </c>
      <c r="F21" s="2">
        <v>330513</v>
      </c>
      <c r="G21" s="3"/>
      <c r="H21" s="32">
        <f t="shared" si="0"/>
        <v>103.97916128426827</v>
      </c>
      <c r="I21" s="32">
        <f t="shared" si="1"/>
        <v>142.98122640466642</v>
      </c>
      <c r="J21" s="32">
        <f t="shared" si="2"/>
        <v>62677.328879650726</v>
      </c>
      <c r="K21" s="32">
        <f t="shared" si="3"/>
        <v>125.56690468130721</v>
      </c>
      <c r="L21" s="32">
        <f t="shared" si="7"/>
        <v>2.5838353621230485</v>
      </c>
      <c r="M21" s="32">
        <f t="array" ref="M21">TREND($D$2:$D$26,$A$2:$A$26,A21)</f>
        <v>20577.909697357511</v>
      </c>
      <c r="N21" s="32">
        <f t="shared" si="4"/>
        <v>0.66946694133942408</v>
      </c>
      <c r="O21" s="32">
        <f t="shared" si="8"/>
        <v>1.813221823974511</v>
      </c>
      <c r="P21" s="32">
        <f t="shared" si="9"/>
        <v>1.6504557284770844</v>
      </c>
      <c r="Q21" s="32">
        <f t="shared" si="10"/>
        <v>-0.19999999999999973</v>
      </c>
      <c r="R21" s="32">
        <f t="shared" si="5"/>
        <v>5.7039999999999997</v>
      </c>
      <c r="S21" s="32">
        <f t="shared" si="6"/>
        <v>-2.0039999999999996</v>
      </c>
    </row>
    <row r="22" spans="1:19" ht="17.25" customHeight="1" x14ac:dyDescent="0.3">
      <c r="A22" s="26">
        <v>43831</v>
      </c>
      <c r="B22" s="2">
        <v>8.1</v>
      </c>
      <c r="C22" s="2">
        <v>21375.281999999999</v>
      </c>
      <c r="D22" s="2">
        <v>20284.5</v>
      </c>
      <c r="E22" s="2">
        <v>258.85599999999999</v>
      </c>
      <c r="F22" s="2">
        <v>331840</v>
      </c>
      <c r="G22" s="3"/>
      <c r="H22" s="32">
        <f t="shared" si="0"/>
        <v>105.37741625378985</v>
      </c>
      <c r="I22" s="32">
        <f t="shared" si="1"/>
        <v>144.90395984374507</v>
      </c>
      <c r="J22" s="32">
        <f t="shared" si="2"/>
        <v>61127.350530376083</v>
      </c>
      <c r="K22" s="32">
        <f t="shared" si="3"/>
        <v>122.46169922471908</v>
      </c>
      <c r="L22" s="32">
        <f t="shared" si="7"/>
        <v>-2.0813807053905791</v>
      </c>
      <c r="M22" s="32">
        <f t="array" ref="M22">TREND($D$2:$D$26,$A$2:$A$26,A22)</f>
        <v>20938.879686615091</v>
      </c>
      <c r="N22" s="32">
        <f t="shared" si="4"/>
        <v>-3.1251895822936278</v>
      </c>
      <c r="O22" s="32">
        <f t="shared" si="8"/>
        <v>1.252870101270082</v>
      </c>
      <c r="P22" s="32">
        <f t="shared" si="9"/>
        <v>1.344745381912525</v>
      </c>
      <c r="Q22" s="32">
        <f t="shared" si="10"/>
        <v>4.3999999999999995</v>
      </c>
      <c r="R22" s="32">
        <f t="shared" si="5"/>
        <v>5.7039999999999997</v>
      </c>
      <c r="S22" s="32">
        <f t="shared" si="6"/>
        <v>2.3959999999999999</v>
      </c>
    </row>
    <row r="23" spans="1:19" ht="17.25" customHeight="1" x14ac:dyDescent="0.3">
      <c r="A23" s="26">
        <v>44197</v>
      </c>
      <c r="B23" s="2">
        <v>5.4</v>
      </c>
      <c r="C23" s="2">
        <v>23725.646000000001</v>
      </c>
      <c r="D23" s="2">
        <v>21532.406999999999</v>
      </c>
      <c r="E23" s="2">
        <v>270.97300000000001</v>
      </c>
      <c r="F23" s="2">
        <v>332503</v>
      </c>
      <c r="G23" s="3"/>
      <c r="H23" s="32">
        <f t="shared" si="0"/>
        <v>110.18575861026592</v>
      </c>
      <c r="I23" s="32">
        <f t="shared" si="1"/>
        <v>151.51588745126722</v>
      </c>
      <c r="J23" s="32">
        <f t="shared" si="2"/>
        <v>64758.534509463076</v>
      </c>
      <c r="K23" s="32">
        <f t="shared" si="3"/>
        <v>129.73636361665268</v>
      </c>
      <c r="L23" s="32">
        <f t="shared" si="7"/>
        <v>6.152022480218883</v>
      </c>
      <c r="M23" s="32">
        <f t="array" ref="M23">TREND($D$2:$D$26,$A$2:$A$26,A23)</f>
        <v>21300.838634747346</v>
      </c>
      <c r="N23" s="32">
        <f t="shared" si="4"/>
        <v>1.087132620566889</v>
      </c>
      <c r="O23" s="32">
        <f t="shared" si="8"/>
        <v>4.6809809314831492</v>
      </c>
      <c r="P23" s="32">
        <f t="shared" si="9"/>
        <v>4.562972340198316</v>
      </c>
      <c r="Q23" s="32">
        <f t="shared" si="10"/>
        <v>-2.6999999999999993</v>
      </c>
      <c r="R23" s="32">
        <f t="shared" si="5"/>
        <v>5.7039999999999997</v>
      </c>
      <c r="S23" s="32">
        <f t="shared" si="6"/>
        <v>-0.30399999999999938</v>
      </c>
    </row>
    <row r="24" spans="1:19" ht="17.25" customHeight="1" x14ac:dyDescent="0.3">
      <c r="A24" s="26">
        <v>44562</v>
      </c>
      <c r="B24" s="2">
        <v>3.7</v>
      </c>
      <c r="C24" s="2">
        <v>26054.614000000001</v>
      </c>
      <c r="D24" s="2">
        <v>22075.931</v>
      </c>
      <c r="E24" s="2">
        <v>292.62599999999998</v>
      </c>
      <c r="F24" s="2">
        <v>334350</v>
      </c>
      <c r="G24" s="3"/>
      <c r="H24" s="32">
        <f t="shared" si="0"/>
        <v>118.02271895124153</v>
      </c>
      <c r="I24" s="32">
        <f t="shared" si="1"/>
        <v>162.29245255332637</v>
      </c>
      <c r="J24" s="32">
        <f t="shared" si="2"/>
        <v>66026.412442051747</v>
      </c>
      <c r="K24" s="32">
        <f t="shared" si="3"/>
        <v>132.27641295115109</v>
      </c>
      <c r="L24" s="32">
        <f t="shared" si="7"/>
        <v>2.5242138512429255</v>
      </c>
      <c r="M24" s="32">
        <f t="array" ref="M24">TREND($D$2:$D$26,$A$2:$A$26,A24)</f>
        <v>21661.80862400492</v>
      </c>
      <c r="N24" s="32">
        <f t="shared" si="4"/>
        <v>1.911762693426087</v>
      </c>
      <c r="O24" s="32">
        <f t="shared" si="8"/>
        <v>7.9908330350256156</v>
      </c>
      <c r="P24" s="32">
        <f t="shared" si="9"/>
        <v>7.1124984206855979</v>
      </c>
      <c r="Q24" s="32">
        <f t="shared" si="10"/>
        <v>-1.7000000000000002</v>
      </c>
      <c r="R24" s="32">
        <f t="shared" si="5"/>
        <v>5.7039999999999997</v>
      </c>
      <c r="S24" s="32">
        <f t="shared" si="6"/>
        <v>-2.0039999999999996</v>
      </c>
    </row>
    <row r="25" spans="1:19" ht="17.25" customHeight="1" x14ac:dyDescent="0.3">
      <c r="A25" s="26">
        <v>44927</v>
      </c>
      <c r="B25" s="2">
        <v>3.6</v>
      </c>
      <c r="C25" s="2">
        <v>27811.517</v>
      </c>
      <c r="D25" s="2">
        <v>22723.719000000001</v>
      </c>
      <c r="E25" s="2">
        <v>304.70299999999997</v>
      </c>
      <c r="F25" s="2">
        <v>337087</v>
      </c>
      <c r="G25" s="3"/>
      <c r="H25" s="32">
        <f t="shared" si="0"/>
        <v>122.38981216058866</v>
      </c>
      <c r="I25" s="32">
        <f t="shared" si="1"/>
        <v>168.29762065800907</v>
      </c>
      <c r="J25" s="32">
        <f t="shared" si="2"/>
        <v>67412.030128720478</v>
      </c>
      <c r="K25" s="32">
        <f t="shared" si="3"/>
        <v>135.05234050097928</v>
      </c>
      <c r="L25" s="32">
        <f t="shared" si="7"/>
        <v>2.9343632211932555</v>
      </c>
      <c r="M25" s="32">
        <f t="array" ref="M25">TREND($D$2:$D$26,$A$2:$A$26,A25)</f>
        <v>22022.778613262501</v>
      </c>
      <c r="N25" s="32">
        <f t="shared" si="4"/>
        <v>3.1827972257568895</v>
      </c>
      <c r="O25" s="32">
        <f t="shared" si="8"/>
        <v>4.1271110564338098</v>
      </c>
      <c r="P25" s="32">
        <f t="shared" si="9"/>
        <v>3.7002140334957883</v>
      </c>
      <c r="Q25" s="32">
        <f t="shared" si="10"/>
        <v>-0.10000000000000009</v>
      </c>
      <c r="R25" s="32">
        <f t="shared" si="5"/>
        <v>5.7039999999999997</v>
      </c>
      <c r="S25" s="32">
        <f t="shared" si="6"/>
        <v>-2.1039999999999996</v>
      </c>
    </row>
    <row r="26" spans="1:19" ht="17.25" customHeight="1" x14ac:dyDescent="0.3">
      <c r="A26" s="27">
        <v>45292</v>
      </c>
      <c r="B26" s="2">
        <v>4</v>
      </c>
      <c r="C26" s="2">
        <v>29298.012999999999</v>
      </c>
      <c r="D26" s="2">
        <v>23358.435000000001</v>
      </c>
      <c r="E26" s="2">
        <v>313.69799999999998</v>
      </c>
      <c r="F26" s="2">
        <v>340095</v>
      </c>
      <c r="G26" s="3"/>
      <c r="H26" s="32">
        <f t="shared" si="0"/>
        <v>125.42797922891664</v>
      </c>
      <c r="I26" s="32">
        <f t="shared" si="1"/>
        <v>172.47538905012175</v>
      </c>
      <c r="J26" s="32">
        <f t="shared" si="2"/>
        <v>68682.088828121559</v>
      </c>
      <c r="K26" s="32">
        <f t="shared" si="3"/>
        <v>137.59675875392654</v>
      </c>
      <c r="L26" s="32">
        <f t="shared" si="7"/>
        <v>2.7931871539161364</v>
      </c>
      <c r="M26" s="32">
        <f t="array" ref="M26">TREND($D$2:$D$26,$A$2:$A$26,A26)</f>
        <v>22383.748602520074</v>
      </c>
      <c r="N26" s="32">
        <f t="shared" si="4"/>
        <v>4.354437743149921</v>
      </c>
      <c r="O26" s="32">
        <f t="shared" si="8"/>
        <v>2.9520549518711681</v>
      </c>
      <c r="P26" s="32">
        <f t="shared" si="9"/>
        <v>2.4823692550010419</v>
      </c>
      <c r="Q26" s="32">
        <f t="shared" si="10"/>
        <v>0.39999999999999991</v>
      </c>
      <c r="R26" s="32">
        <f t="shared" si="5"/>
        <v>5.7039999999999997</v>
      </c>
      <c r="S26" s="32">
        <f t="shared" si="6"/>
        <v>-1.7039999999999997</v>
      </c>
    </row>
    <row r="27" spans="1:19" ht="17.25" customHeight="1" x14ac:dyDescent="0.3">
      <c r="A27" s="28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25"/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</row>
    <row r="28" spans="1:19" ht="50.25" customHeight="1" x14ac:dyDescent="0.3">
      <c r="A28" s="28"/>
      <c r="B28" s="6"/>
      <c r="C28" s="6"/>
      <c r="D28" s="6"/>
      <c r="E28" s="6"/>
      <c r="F28" s="6"/>
      <c r="G28" s="24"/>
      <c r="H28" s="7" t="s">
        <v>25</v>
      </c>
      <c r="I28" s="7" t="s">
        <v>26</v>
      </c>
      <c r="J28" s="7" t="s">
        <v>27</v>
      </c>
      <c r="K28" s="7" t="s">
        <v>28</v>
      </c>
      <c r="L28" s="7" t="s">
        <v>29</v>
      </c>
      <c r="M28" s="7" t="s">
        <v>30</v>
      </c>
      <c r="N28" s="7" t="s">
        <v>31</v>
      </c>
      <c r="O28" s="7" t="s">
        <v>32</v>
      </c>
      <c r="P28" s="7" t="s">
        <v>33</v>
      </c>
      <c r="Q28" s="7" t="s">
        <v>34</v>
      </c>
      <c r="R28" s="7" t="s">
        <v>35</v>
      </c>
      <c r="S28" s="7" t="s">
        <v>36</v>
      </c>
    </row>
    <row r="29" spans="1:19" ht="18" customHeight="1" x14ac:dyDescent="0.3">
      <c r="A29" s="28" t="s">
        <v>37</v>
      </c>
      <c r="B29" s="6" t="s">
        <v>38</v>
      </c>
      <c r="C29" s="6" t="s">
        <v>38</v>
      </c>
      <c r="D29" s="6" t="s">
        <v>38</v>
      </c>
      <c r="E29" s="6" t="s">
        <v>38</v>
      </c>
      <c r="F29" s="6" t="s">
        <v>38</v>
      </c>
      <c r="G29" s="24" t="s">
        <v>39</v>
      </c>
      <c r="H29" s="7" t="s">
        <v>38</v>
      </c>
      <c r="I29" s="7" t="s">
        <v>38</v>
      </c>
      <c r="J29" s="7" t="s">
        <v>38</v>
      </c>
      <c r="K29" s="7" t="s">
        <v>38</v>
      </c>
      <c r="L29" s="7" t="s">
        <v>40</v>
      </c>
      <c r="M29" s="7" t="s">
        <v>38</v>
      </c>
      <c r="N29" s="7" t="s">
        <v>38</v>
      </c>
      <c r="O29" s="7" t="s">
        <v>40</v>
      </c>
      <c r="P29" s="7" t="s">
        <v>40</v>
      </c>
      <c r="Q29" s="7" t="s">
        <v>40</v>
      </c>
      <c r="R29" s="7" t="s">
        <v>38</v>
      </c>
      <c r="S29" s="7" t="s">
        <v>38</v>
      </c>
    </row>
    <row r="30" spans="1:19" ht="33.75" customHeight="1" x14ac:dyDescent="0.3">
      <c r="A30" s="28" t="s">
        <v>41</v>
      </c>
      <c r="B30" s="7" t="s">
        <v>42</v>
      </c>
      <c r="C30" s="7" t="s">
        <v>43</v>
      </c>
      <c r="D30" s="7" t="s">
        <v>44</v>
      </c>
      <c r="E30" s="7" t="s">
        <v>45</v>
      </c>
      <c r="F30" s="7" t="s">
        <v>46</v>
      </c>
      <c r="G30" s="24" t="s">
        <v>47</v>
      </c>
      <c r="H30" s="7" t="s">
        <v>48</v>
      </c>
      <c r="I30" s="7" t="s">
        <v>49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54</v>
      </c>
      <c r="O30" s="7" t="s">
        <v>55</v>
      </c>
      <c r="P30" s="7" t="s">
        <v>49</v>
      </c>
      <c r="Q30" s="7" t="s">
        <v>56</v>
      </c>
      <c r="R30" s="7" t="s">
        <v>56</v>
      </c>
      <c r="S30" s="7" t="s">
        <v>57</v>
      </c>
    </row>
    <row r="31" spans="1:19" ht="66.75" customHeight="1" x14ac:dyDescent="0.3">
      <c r="A31" s="29" t="s">
        <v>58</v>
      </c>
      <c r="B31" s="6" t="s">
        <v>59</v>
      </c>
      <c r="C31" s="6" t="s">
        <v>60</v>
      </c>
      <c r="D31" s="6" t="s">
        <v>60</v>
      </c>
      <c r="E31" s="6" t="s">
        <v>59</v>
      </c>
      <c r="F31" s="6" t="s">
        <v>59</v>
      </c>
      <c r="G31" s="24" t="s">
        <v>61</v>
      </c>
      <c r="H31" s="7" t="s">
        <v>62</v>
      </c>
      <c r="I31" s="7" t="s">
        <v>63</v>
      </c>
      <c r="J31" s="7" t="s">
        <v>64</v>
      </c>
      <c r="K31" s="7" t="s">
        <v>65</v>
      </c>
      <c r="L31" s="7" t="s">
        <v>66</v>
      </c>
      <c r="M31" s="7" t="s">
        <v>67</v>
      </c>
      <c r="N31" s="7" t="s">
        <v>68</v>
      </c>
      <c r="O31" s="7" t="s">
        <v>69</v>
      </c>
      <c r="P31" s="7" t="s">
        <v>70</v>
      </c>
      <c r="Q31" s="7" t="s">
        <v>71</v>
      </c>
      <c r="R31" s="7" t="s">
        <v>72</v>
      </c>
      <c r="S31" s="7" t="s">
        <v>73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opLeftCell="K54" zoomScale="108" zoomScaleNormal="70" workbookViewId="0">
      <selection activeCell="K54" sqref="K54"/>
    </sheetView>
  </sheetViews>
  <sheetFormatPr defaultColWidth="8.77734375" defaultRowHeight="14.25" customHeight="1" x14ac:dyDescent="0.3"/>
  <cols>
    <col min="1" max="1" width="23.77734375" style="1" customWidth="1"/>
    <col min="2" max="6" width="27.44140625" customWidth="1"/>
    <col min="7" max="7" width="7.44140625" style="1" customWidth="1"/>
    <col min="8" max="8" width="17.6640625" style="1" customWidth="1"/>
    <col min="9" max="9" width="34.33203125" style="1" customWidth="1"/>
    <col min="10" max="10" width="37.88671875" style="1" customWidth="1"/>
    <col min="11" max="11" width="42" style="1" customWidth="1"/>
    <col min="12" max="12" width="23.77734375" style="1" customWidth="1"/>
    <col min="13" max="13" width="31.33203125" style="1" customWidth="1"/>
    <col min="14" max="14" width="27" style="1" customWidth="1"/>
    <col min="15" max="15" width="23.77734375" style="1" customWidth="1"/>
    <col min="16" max="16" width="34.21875" style="1" customWidth="1"/>
    <col min="17" max="17" width="39.109375" style="1" customWidth="1"/>
    <col min="18" max="18" width="36.21875" style="1" customWidth="1"/>
    <col min="19" max="19" width="27.21875" style="1" customWidth="1"/>
    <col min="20" max="16384" width="8.77734375" style="1"/>
  </cols>
  <sheetData>
    <row r="1" spans="1:19" ht="12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8" t="s">
        <v>74</v>
      </c>
      <c r="F1" s="38" t="s">
        <v>75</v>
      </c>
      <c r="G1" s="31"/>
      <c r="H1" s="31" t="s">
        <v>6</v>
      </c>
      <c r="I1" s="31" t="s">
        <v>7</v>
      </c>
      <c r="J1" s="31" t="s">
        <v>76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</row>
    <row r="2" spans="1:19" ht="12" customHeight="1" x14ac:dyDescent="0.3">
      <c r="A2" s="33">
        <v>36526</v>
      </c>
      <c r="B2" s="8">
        <v>8</v>
      </c>
      <c r="C2" s="8">
        <v>2129688</v>
      </c>
      <c r="D2" s="8">
        <v>2395647.2000000002</v>
      </c>
      <c r="E2" s="8">
        <v>79.9435266666666</v>
      </c>
      <c r="F2" s="8">
        <v>82211508</v>
      </c>
      <c r="G2" s="3"/>
      <c r="H2" s="43">
        <f t="shared" ref="H2:H26" si="0">C2/D2*100</f>
        <v>88.898231759668107</v>
      </c>
      <c r="I2" s="43">
        <f t="shared" ref="I2:I26" si="1">H2/$H$2*100</f>
        <v>100</v>
      </c>
      <c r="J2" s="44">
        <f t="shared" ref="J2:J26" si="2">(D2*1000000)/F2</f>
        <v>29140.046914113289</v>
      </c>
      <c r="K2" s="43">
        <f t="shared" ref="K2:K26" si="3">J2/$J$2*100</f>
        <v>100</v>
      </c>
      <c r="L2" s="32"/>
      <c r="M2" s="45">
        <f t="array" ref="M2">TREND($D$2:$D$26,$A$2:$A$26,A2)</f>
        <v>2346612.8892794438</v>
      </c>
      <c r="N2" s="43">
        <f t="shared" ref="N2:N26" si="4">(D2-M2)/M2*100</f>
        <v>2.0895781722060258</v>
      </c>
      <c r="O2" s="43"/>
      <c r="P2" s="43"/>
      <c r="Q2" s="43"/>
      <c r="R2" s="43">
        <f t="shared" ref="R2:R26" si="5">AVERAGE($B$2:$B$26)</f>
        <v>6.0239999999999982</v>
      </c>
      <c r="S2" s="43">
        <f t="shared" ref="S2:S26" si="6">B2-R2</f>
        <v>1.9760000000000018</v>
      </c>
    </row>
    <row r="3" spans="1:19" ht="12" customHeight="1" x14ac:dyDescent="0.3">
      <c r="A3" s="33">
        <v>36892</v>
      </c>
      <c r="B3" s="8">
        <v>7.8</v>
      </c>
      <c r="C3" s="8">
        <v>2198354</v>
      </c>
      <c r="D3" s="8">
        <v>2437867.5</v>
      </c>
      <c r="E3" s="8">
        <v>81.529488333333305</v>
      </c>
      <c r="F3" s="8">
        <v>82349925</v>
      </c>
      <c r="G3" s="3"/>
      <c r="H3" s="43">
        <f t="shared" si="0"/>
        <v>90.17528639271822</v>
      </c>
      <c r="I3" s="43">
        <f t="shared" si="1"/>
        <v>101.43653547182194</v>
      </c>
      <c r="J3" s="44">
        <f t="shared" si="2"/>
        <v>29603.761023461771</v>
      </c>
      <c r="K3" s="43">
        <f t="shared" si="3"/>
        <v>101.59132931637077</v>
      </c>
      <c r="L3" s="43">
        <f t="shared" ref="L3:L26" si="7">(D3-D2)/D2*100</f>
        <v>1.7623755284166973</v>
      </c>
      <c r="M3" s="45">
        <f t="array" ref="M3">TREND($D$2:$D$26,$A$2:$A$26,A3)</f>
        <v>2380212.2549522892</v>
      </c>
      <c r="N3" s="43">
        <f t="shared" si="4"/>
        <v>2.4222732627207035</v>
      </c>
      <c r="O3" s="43">
        <f t="shared" ref="O3:O26" si="8">(E3-E2)/E2*100</f>
        <v>1.9838525178899704</v>
      </c>
      <c r="P3" s="43">
        <f t="shared" ref="P3:P26" si="9">(H3-H2)/H2*100</f>
        <v>1.4365354718219436</v>
      </c>
      <c r="Q3" s="43">
        <f t="shared" ref="Q3:Q26" si="10">B3-B2</f>
        <v>-0.20000000000000018</v>
      </c>
      <c r="R3" s="43">
        <f t="shared" si="5"/>
        <v>6.0239999999999982</v>
      </c>
      <c r="S3" s="43">
        <f t="shared" si="6"/>
        <v>1.7760000000000016</v>
      </c>
    </row>
    <row r="4" spans="1:19" ht="12" customHeight="1" x14ac:dyDescent="0.3">
      <c r="A4" s="33">
        <v>37257</v>
      </c>
      <c r="B4" s="8">
        <v>8.6</v>
      </c>
      <c r="C4" s="8">
        <v>2227073</v>
      </c>
      <c r="D4" s="8">
        <v>2433299.2000000002</v>
      </c>
      <c r="E4" s="8">
        <v>82.687865833333305</v>
      </c>
      <c r="F4" s="8">
        <v>82488495</v>
      </c>
      <c r="G4" s="3"/>
      <c r="H4" s="43">
        <f t="shared" si="0"/>
        <v>91.524831800380312</v>
      </c>
      <c r="I4" s="43">
        <f t="shared" si="1"/>
        <v>102.95461449426023</v>
      </c>
      <c r="J4" s="44">
        <f t="shared" si="2"/>
        <v>29498.649478330281</v>
      </c>
      <c r="K4" s="43">
        <f t="shared" si="3"/>
        <v>101.23061766260682</v>
      </c>
      <c r="L4" s="43">
        <f t="shared" si="7"/>
        <v>-0.18738918337439642</v>
      </c>
      <c r="M4" s="45">
        <f t="array" ref="M4">TREND($D$2:$D$26,$A$2:$A$26,A4)</f>
        <v>2413719.8190795803</v>
      </c>
      <c r="N4" s="43">
        <f t="shared" si="4"/>
        <v>0.81117040866350876</v>
      </c>
      <c r="O4" s="43">
        <f t="shared" si="8"/>
        <v>1.4208080090776163</v>
      </c>
      <c r="P4" s="43">
        <f t="shared" si="9"/>
        <v>1.4965801181764466</v>
      </c>
      <c r="Q4" s="43">
        <f t="shared" si="10"/>
        <v>0.79999999999999982</v>
      </c>
      <c r="R4" s="43">
        <f t="shared" si="5"/>
        <v>6.0239999999999982</v>
      </c>
      <c r="S4" s="43">
        <f t="shared" si="6"/>
        <v>2.5760000000000014</v>
      </c>
    </row>
    <row r="5" spans="1:19" ht="12" customHeight="1" x14ac:dyDescent="0.3">
      <c r="A5" s="33">
        <v>37622</v>
      </c>
      <c r="B5" s="8">
        <v>9.6999999999999993</v>
      </c>
      <c r="C5" s="8">
        <v>2244141</v>
      </c>
      <c r="D5" s="8">
        <v>2419815.1</v>
      </c>
      <c r="E5" s="8">
        <v>83.543044166666604</v>
      </c>
      <c r="F5" s="8">
        <v>82534176</v>
      </c>
      <c r="G5" s="3"/>
      <c r="H5" s="43">
        <f t="shared" si="0"/>
        <v>92.740184983555139</v>
      </c>
      <c r="I5" s="43">
        <f t="shared" si="1"/>
        <v>104.32174313013734</v>
      </c>
      <c r="J5" s="44">
        <f t="shared" si="2"/>
        <v>29318.946614309203</v>
      </c>
      <c r="K5" s="43">
        <f t="shared" si="3"/>
        <v>100.61393072126204</v>
      </c>
      <c r="L5" s="43">
        <f t="shared" si="7"/>
        <v>-0.55414886915674377</v>
      </c>
      <c r="M5" s="45">
        <f t="array" ref="M5">TREND($D$2:$D$26,$A$2:$A$26,A5)</f>
        <v>2447227.3832068713</v>
      </c>
      <c r="N5" s="43">
        <f t="shared" si="4"/>
        <v>-1.1201363385755316</v>
      </c>
      <c r="O5" s="43">
        <f t="shared" si="8"/>
        <v>1.0342247011877259</v>
      </c>
      <c r="P5" s="43">
        <f t="shared" si="9"/>
        <v>1.3278944733004978</v>
      </c>
      <c r="Q5" s="43">
        <f t="shared" si="10"/>
        <v>1.0999999999999996</v>
      </c>
      <c r="R5" s="43">
        <f t="shared" si="5"/>
        <v>6.0239999999999982</v>
      </c>
      <c r="S5" s="43">
        <f t="shared" si="6"/>
        <v>3.676000000000001</v>
      </c>
    </row>
    <row r="6" spans="1:19" ht="12" customHeight="1" x14ac:dyDescent="0.3">
      <c r="A6" s="33">
        <v>37987</v>
      </c>
      <c r="B6" s="8">
        <v>10.3</v>
      </c>
      <c r="C6" s="8">
        <v>2285493</v>
      </c>
      <c r="D6" s="8">
        <v>2436467.6</v>
      </c>
      <c r="E6" s="8">
        <v>84.9346483333333</v>
      </c>
      <c r="F6" s="8">
        <v>82516260</v>
      </c>
      <c r="G6" s="3"/>
      <c r="H6" s="43">
        <f t="shared" si="0"/>
        <v>93.803545756159451</v>
      </c>
      <c r="I6" s="43">
        <f t="shared" si="1"/>
        <v>105.51789827468403</v>
      </c>
      <c r="J6" s="44">
        <f t="shared" si="2"/>
        <v>29527.121078924323</v>
      </c>
      <c r="K6" s="43">
        <f t="shared" si="3"/>
        <v>101.32832375305327</v>
      </c>
      <c r="L6" s="43">
        <f t="shared" si="7"/>
        <v>0.68817241449563638</v>
      </c>
      <c r="M6" s="45">
        <f t="array" ref="M6">TREND($D$2:$D$26,$A$2:$A$26,A6)</f>
        <v>2480734.9473341624</v>
      </c>
      <c r="N6" s="43">
        <f t="shared" si="4"/>
        <v>-1.7844448630730474</v>
      </c>
      <c r="O6" s="43">
        <f t="shared" si="8"/>
        <v>1.6657331325998546</v>
      </c>
      <c r="P6" s="43">
        <f t="shared" si="9"/>
        <v>1.1466019533957901</v>
      </c>
      <c r="Q6" s="43">
        <f t="shared" si="10"/>
        <v>0.60000000000000142</v>
      </c>
      <c r="R6" s="43">
        <f t="shared" si="5"/>
        <v>6.0239999999999982</v>
      </c>
      <c r="S6" s="43">
        <f t="shared" si="6"/>
        <v>4.2760000000000025</v>
      </c>
    </row>
    <row r="7" spans="1:19" ht="12" customHeight="1" x14ac:dyDescent="0.3">
      <c r="A7" s="33">
        <v>38353</v>
      </c>
      <c r="B7" s="8">
        <v>11</v>
      </c>
      <c r="C7" s="8">
        <v>2322042</v>
      </c>
      <c r="D7" s="8">
        <v>2462256.5</v>
      </c>
      <c r="E7" s="8">
        <v>86.248511666666602</v>
      </c>
      <c r="F7" s="8">
        <v>82469422</v>
      </c>
      <c r="G7" s="3"/>
      <c r="H7" s="43">
        <f t="shared" si="0"/>
        <v>94.305447056389127</v>
      </c>
      <c r="I7" s="43">
        <f t="shared" si="1"/>
        <v>106.08247789600489</v>
      </c>
      <c r="J7" s="44">
        <f t="shared" si="2"/>
        <v>29856.599455735242</v>
      </c>
      <c r="K7" s="43">
        <f t="shared" si="3"/>
        <v>102.45899584078882</v>
      </c>
      <c r="L7" s="43">
        <f t="shared" si="7"/>
        <v>1.0584544608760611</v>
      </c>
      <c r="M7" s="45">
        <f t="array" ref="M7">TREND($D$2:$D$26,$A$2:$A$26,A7)</f>
        <v>2514334.3130070078</v>
      </c>
      <c r="N7" s="43">
        <f t="shared" si="4"/>
        <v>-2.0712366186788249</v>
      </c>
      <c r="O7" s="43">
        <f t="shared" si="8"/>
        <v>1.5469109004571757</v>
      </c>
      <c r="P7" s="43">
        <f t="shared" si="9"/>
        <v>0.53505578726667635</v>
      </c>
      <c r="Q7" s="43">
        <f t="shared" si="10"/>
        <v>0.69999999999999929</v>
      </c>
      <c r="R7" s="43">
        <f t="shared" si="5"/>
        <v>6.0239999999999982</v>
      </c>
      <c r="S7" s="43">
        <f t="shared" si="6"/>
        <v>4.9760000000000018</v>
      </c>
    </row>
    <row r="8" spans="1:19" ht="12" customHeight="1" x14ac:dyDescent="0.3">
      <c r="A8" s="33">
        <v>38718</v>
      </c>
      <c r="B8" s="8">
        <v>10.1</v>
      </c>
      <c r="C8" s="8">
        <v>2426834</v>
      </c>
      <c r="D8" s="8">
        <v>2561949.2999999998</v>
      </c>
      <c r="E8" s="8">
        <v>87.6090241666666</v>
      </c>
      <c r="F8" s="8">
        <v>82376451</v>
      </c>
      <c r="G8" s="3"/>
      <c r="H8" s="43">
        <f t="shared" si="0"/>
        <v>94.726074399676847</v>
      </c>
      <c r="I8" s="43">
        <f t="shared" si="1"/>
        <v>106.55563392505265</v>
      </c>
      <c r="J8" s="44">
        <f t="shared" si="2"/>
        <v>31100.505895792961</v>
      </c>
      <c r="K8" s="43">
        <f t="shared" si="3"/>
        <v>106.7277138827466</v>
      </c>
      <c r="L8" s="43">
        <f t="shared" si="7"/>
        <v>4.048838941028273</v>
      </c>
      <c r="M8" s="45">
        <f t="array" ref="M8">TREND($D$2:$D$26,$A$2:$A$26,A8)</f>
        <v>2547841.8771342989</v>
      </c>
      <c r="N8" s="43">
        <f t="shared" si="4"/>
        <v>0.5537008788617731</v>
      </c>
      <c r="O8" s="43">
        <f t="shared" si="8"/>
        <v>1.5774330173465598</v>
      </c>
      <c r="P8" s="43">
        <f t="shared" si="9"/>
        <v>0.44602656200358098</v>
      </c>
      <c r="Q8" s="43">
        <f t="shared" si="10"/>
        <v>-0.90000000000000036</v>
      </c>
      <c r="R8" s="43">
        <f t="shared" si="5"/>
        <v>6.0239999999999982</v>
      </c>
      <c r="S8" s="43">
        <f t="shared" si="6"/>
        <v>4.0760000000000014</v>
      </c>
    </row>
    <row r="9" spans="1:19" ht="12" customHeight="1" x14ac:dyDescent="0.3">
      <c r="A9" s="33">
        <v>39083</v>
      </c>
      <c r="B9" s="8">
        <v>8.6</v>
      </c>
      <c r="C9" s="8">
        <v>2545653</v>
      </c>
      <c r="D9" s="8">
        <v>2638874.1</v>
      </c>
      <c r="E9" s="8">
        <v>89.622573333333307</v>
      </c>
      <c r="F9" s="8">
        <v>82266372</v>
      </c>
      <c r="G9" s="3"/>
      <c r="H9" s="43">
        <f t="shared" si="0"/>
        <v>96.467391149884719</v>
      </c>
      <c r="I9" s="43">
        <f t="shared" si="1"/>
        <v>108.51440938744368</v>
      </c>
      <c r="J9" s="44">
        <f t="shared" si="2"/>
        <v>32077.190665464135</v>
      </c>
      <c r="K9" s="43">
        <f t="shared" si="3"/>
        <v>110.07940639219873</v>
      </c>
      <c r="L9" s="43">
        <f t="shared" si="7"/>
        <v>3.0025886929144261</v>
      </c>
      <c r="M9" s="45">
        <f t="array" ref="M9">TREND($D$2:$D$26,$A$2:$A$26,A9)</f>
        <v>2581349.44126159</v>
      </c>
      <c r="N9" s="43">
        <f t="shared" si="4"/>
        <v>2.2284723570899381</v>
      </c>
      <c r="O9" s="43">
        <f t="shared" si="8"/>
        <v>2.2983353436697902</v>
      </c>
      <c r="P9" s="43">
        <f t="shared" si="9"/>
        <v>1.8382655052934533</v>
      </c>
      <c r="Q9" s="43">
        <f t="shared" si="10"/>
        <v>-1.5</v>
      </c>
      <c r="R9" s="43">
        <f t="shared" si="5"/>
        <v>6.0239999999999982</v>
      </c>
      <c r="S9" s="43">
        <f t="shared" si="6"/>
        <v>2.5760000000000014</v>
      </c>
    </row>
    <row r="10" spans="1:19" ht="12" customHeight="1" x14ac:dyDescent="0.3">
      <c r="A10" s="33">
        <v>39448</v>
      </c>
      <c r="B10" s="8">
        <v>7.4</v>
      </c>
      <c r="C10" s="8">
        <v>2585733</v>
      </c>
      <c r="D10" s="8">
        <v>2654937</v>
      </c>
      <c r="E10" s="8">
        <v>91.978202499999895</v>
      </c>
      <c r="F10" s="8">
        <v>82110097</v>
      </c>
      <c r="G10" s="3"/>
      <c r="H10" s="43">
        <f t="shared" si="0"/>
        <v>97.39338447578983</v>
      </c>
      <c r="I10" s="43">
        <f t="shared" si="1"/>
        <v>109.5560423958577</v>
      </c>
      <c r="J10" s="44">
        <f t="shared" si="2"/>
        <v>32333.867538848481</v>
      </c>
      <c r="K10" s="43">
        <f t="shared" si="3"/>
        <v>110.9602453082817</v>
      </c>
      <c r="L10" s="43">
        <f t="shared" si="7"/>
        <v>0.60870277971957465</v>
      </c>
      <c r="M10" s="45">
        <f t="array" ref="M10">TREND($D$2:$D$26,$A$2:$A$26,A10)</f>
        <v>2614857.0053888815</v>
      </c>
      <c r="N10" s="43">
        <f t="shared" si="4"/>
        <v>1.5327795947739695</v>
      </c>
      <c r="O10" s="43">
        <f t="shared" si="8"/>
        <v>2.6283882274896251</v>
      </c>
      <c r="P10" s="43">
        <f t="shared" si="9"/>
        <v>0.95990294219355754</v>
      </c>
      <c r="Q10" s="43">
        <f t="shared" si="10"/>
        <v>-1.1999999999999993</v>
      </c>
      <c r="R10" s="43">
        <f t="shared" si="5"/>
        <v>6.0239999999999982</v>
      </c>
      <c r="S10" s="43">
        <f t="shared" si="6"/>
        <v>1.3760000000000021</v>
      </c>
    </row>
    <row r="11" spans="1:19" ht="12" customHeight="1" x14ac:dyDescent="0.3">
      <c r="A11" s="33">
        <v>39814</v>
      </c>
      <c r="B11" s="8">
        <v>7.4</v>
      </c>
      <c r="C11" s="8">
        <v>2491785</v>
      </c>
      <c r="D11" s="8">
        <v>2509045.1</v>
      </c>
      <c r="E11" s="8">
        <v>92.265852499999895</v>
      </c>
      <c r="F11" s="8">
        <v>81902307</v>
      </c>
      <c r="G11" s="3"/>
      <c r="H11" s="43">
        <f t="shared" si="0"/>
        <v>99.312084904332721</v>
      </c>
      <c r="I11" s="43">
        <f t="shared" si="1"/>
        <v>111.7143535237213</v>
      </c>
      <c r="J11" s="44">
        <f t="shared" si="2"/>
        <v>30634.608375561387</v>
      </c>
      <c r="K11" s="43">
        <f t="shared" si="3"/>
        <v>105.12889174768021</v>
      </c>
      <c r="L11" s="43">
        <f t="shared" si="7"/>
        <v>-5.4951172099375585</v>
      </c>
      <c r="M11" s="45">
        <f t="array" ref="M11">TREND($D$2:$D$26,$A$2:$A$26,A11)</f>
        <v>2648456.3710617269</v>
      </c>
      <c r="N11" s="43">
        <f t="shared" si="4"/>
        <v>-5.2638688930276363</v>
      </c>
      <c r="O11" s="43">
        <f t="shared" si="8"/>
        <v>0.31273714008490172</v>
      </c>
      <c r="P11" s="43">
        <f t="shared" si="9"/>
        <v>1.9700521127488329</v>
      </c>
      <c r="Q11" s="43">
        <f t="shared" si="10"/>
        <v>0</v>
      </c>
      <c r="R11" s="43">
        <f t="shared" si="5"/>
        <v>6.0239999999999982</v>
      </c>
      <c r="S11" s="43">
        <f t="shared" si="6"/>
        <v>1.3760000000000021</v>
      </c>
    </row>
    <row r="12" spans="1:19" ht="12" customHeight="1" x14ac:dyDescent="0.3">
      <c r="A12" s="33">
        <v>40179</v>
      </c>
      <c r="B12" s="8">
        <v>6.6</v>
      </c>
      <c r="C12" s="8">
        <v>2609401</v>
      </c>
      <c r="D12" s="8">
        <v>2609401</v>
      </c>
      <c r="E12" s="8">
        <v>93.284289166666596</v>
      </c>
      <c r="F12" s="8">
        <v>81776930</v>
      </c>
      <c r="G12" s="3"/>
      <c r="H12" s="43">
        <f t="shared" si="0"/>
        <v>100</v>
      </c>
      <c r="I12" s="43">
        <f t="shared" si="1"/>
        <v>112.48817667188811</v>
      </c>
      <c r="J12" s="44">
        <f t="shared" si="2"/>
        <v>31908.766934635478</v>
      </c>
      <c r="K12" s="43">
        <f t="shared" si="3"/>
        <v>109.50142609132598</v>
      </c>
      <c r="L12" s="43">
        <f t="shared" si="7"/>
        <v>3.999764691356082</v>
      </c>
      <c r="M12" s="45">
        <f t="array" ref="M12">TREND($D$2:$D$26,$A$2:$A$26,A12)</f>
        <v>2681963.935189018</v>
      </c>
      <c r="N12" s="43">
        <f t="shared" si="4"/>
        <v>-2.7055895210575964</v>
      </c>
      <c r="O12" s="43">
        <f t="shared" si="8"/>
        <v>1.1038067053753207</v>
      </c>
      <c r="P12" s="43">
        <f t="shared" si="9"/>
        <v>0.69268014696292712</v>
      </c>
      <c r="Q12" s="43">
        <f t="shared" si="10"/>
        <v>-0.80000000000000071</v>
      </c>
      <c r="R12" s="43">
        <f t="shared" si="5"/>
        <v>6.0239999999999982</v>
      </c>
      <c r="S12" s="43">
        <f t="shared" si="6"/>
        <v>0.5760000000000014</v>
      </c>
    </row>
    <row r="13" spans="1:19" ht="12" customHeight="1" x14ac:dyDescent="0.3">
      <c r="A13" s="33">
        <v>40544</v>
      </c>
      <c r="B13" s="8">
        <v>5.5</v>
      </c>
      <c r="C13" s="8">
        <v>2743043</v>
      </c>
      <c r="D13" s="8">
        <v>2709683.2</v>
      </c>
      <c r="E13" s="8">
        <v>95.220100833333305</v>
      </c>
      <c r="F13" s="8">
        <v>80274983</v>
      </c>
      <c r="G13" s="3"/>
      <c r="H13" s="43">
        <f t="shared" si="0"/>
        <v>101.23113284977372</v>
      </c>
      <c r="I13" s="43">
        <f t="shared" si="1"/>
        <v>113.87305556700721</v>
      </c>
      <c r="J13" s="44">
        <f t="shared" si="2"/>
        <v>33755.014311245635</v>
      </c>
      <c r="K13" s="43">
        <f t="shared" si="3"/>
        <v>115.83719961307679</v>
      </c>
      <c r="L13" s="43">
        <f t="shared" si="7"/>
        <v>3.8431118865977361</v>
      </c>
      <c r="M13" s="45">
        <f t="array" ref="M13">TREND($D$2:$D$26,$A$2:$A$26,A13)</f>
        <v>2715471.4993163091</v>
      </c>
      <c r="N13" s="43">
        <f t="shared" si="4"/>
        <v>-0.21316000988286132</v>
      </c>
      <c r="O13" s="43">
        <f t="shared" si="8"/>
        <v>2.0751743771216247</v>
      </c>
      <c r="P13" s="43">
        <f t="shared" si="9"/>
        <v>1.2311328497737151</v>
      </c>
      <c r="Q13" s="43">
        <f t="shared" si="10"/>
        <v>-1.0999999999999996</v>
      </c>
      <c r="R13" s="43">
        <f t="shared" si="5"/>
        <v>6.0239999999999982</v>
      </c>
      <c r="S13" s="43">
        <f t="shared" si="6"/>
        <v>-0.52399999999999824</v>
      </c>
    </row>
    <row r="14" spans="1:19" ht="12" customHeight="1" x14ac:dyDescent="0.3">
      <c r="A14" s="33">
        <v>40909</v>
      </c>
      <c r="B14" s="8">
        <v>5.0999999999999996</v>
      </c>
      <c r="C14" s="8">
        <v>2802015</v>
      </c>
      <c r="D14" s="8">
        <v>2728840.6</v>
      </c>
      <c r="E14" s="8">
        <v>97.132586666666597</v>
      </c>
      <c r="F14" s="8">
        <v>80425823</v>
      </c>
      <c r="G14" s="3"/>
      <c r="H14" s="43">
        <f t="shared" si="0"/>
        <v>102.68151976337496</v>
      </c>
      <c r="I14" s="43">
        <f t="shared" si="1"/>
        <v>115.50456936080494</v>
      </c>
      <c r="J14" s="44">
        <f t="shared" si="2"/>
        <v>33929.905821417582</v>
      </c>
      <c r="K14" s="43">
        <f t="shared" si="3"/>
        <v>116.43737541474046</v>
      </c>
      <c r="L14" s="43">
        <f t="shared" si="7"/>
        <v>0.70699777745235703</v>
      </c>
      <c r="M14" s="45">
        <f t="array" ref="M14">TREND($D$2:$D$26,$A$2:$A$26,A14)</f>
        <v>2748979.0634436002</v>
      </c>
      <c r="N14" s="43">
        <f t="shared" si="4"/>
        <v>-0.73257973155943179</v>
      </c>
      <c r="O14" s="43">
        <f t="shared" si="8"/>
        <v>2.0084896115377737</v>
      </c>
      <c r="P14" s="43">
        <f t="shared" si="9"/>
        <v>1.4327478837499661</v>
      </c>
      <c r="Q14" s="43">
        <f t="shared" si="10"/>
        <v>-0.40000000000000036</v>
      </c>
      <c r="R14" s="43">
        <f t="shared" si="5"/>
        <v>6.0239999999999982</v>
      </c>
      <c r="S14" s="43">
        <f t="shared" si="6"/>
        <v>-0.9239999999999986</v>
      </c>
    </row>
    <row r="15" spans="1:19" ht="12" customHeight="1" x14ac:dyDescent="0.3">
      <c r="A15" s="33">
        <v>41275</v>
      </c>
      <c r="B15" s="8">
        <v>4.9000000000000004</v>
      </c>
      <c r="C15" s="8">
        <v>2874114</v>
      </c>
      <c r="D15" s="8">
        <v>2744461.5</v>
      </c>
      <c r="E15" s="8">
        <v>98.594163333333299</v>
      </c>
      <c r="F15" s="8">
        <v>80645605</v>
      </c>
      <c r="G15" s="3"/>
      <c r="H15" s="43">
        <f t="shared" si="0"/>
        <v>104.72415080335431</v>
      </c>
      <c r="I15" s="43">
        <f t="shared" si="1"/>
        <v>117.80228777381171</v>
      </c>
      <c r="J15" s="44">
        <f t="shared" si="2"/>
        <v>34031.135360693246</v>
      </c>
      <c r="K15" s="43">
        <f t="shared" si="3"/>
        <v>116.7847651755532</v>
      </c>
      <c r="L15" s="43">
        <f t="shared" si="7"/>
        <v>0.57243724679264552</v>
      </c>
      <c r="M15" s="45">
        <f t="array" ref="M15">TREND($D$2:$D$26,$A$2:$A$26,A15)</f>
        <v>2782578.4291164456</v>
      </c>
      <c r="N15" s="43">
        <f t="shared" si="4"/>
        <v>-1.3698420399438263</v>
      </c>
      <c r="O15" s="43">
        <f t="shared" si="8"/>
        <v>1.5047233032951617</v>
      </c>
      <c r="P15" s="43">
        <f t="shared" si="9"/>
        <v>1.9892878920048069</v>
      </c>
      <c r="Q15" s="43">
        <f t="shared" si="10"/>
        <v>-0.19999999999999929</v>
      </c>
      <c r="R15" s="43">
        <f t="shared" si="5"/>
        <v>6.0239999999999982</v>
      </c>
      <c r="S15" s="43">
        <f t="shared" si="6"/>
        <v>-1.1239999999999979</v>
      </c>
    </row>
    <row r="16" spans="1:19" ht="12" customHeight="1" x14ac:dyDescent="0.3">
      <c r="A16" s="33">
        <v>41640</v>
      </c>
      <c r="B16" s="8">
        <v>4.7</v>
      </c>
      <c r="C16" s="8">
        <v>2992931</v>
      </c>
      <c r="D16" s="8">
        <v>2805691.9</v>
      </c>
      <c r="E16" s="8">
        <v>99.488212500000003</v>
      </c>
      <c r="F16" s="8">
        <v>80982500</v>
      </c>
      <c r="G16" s="3"/>
      <c r="H16" s="43">
        <f t="shared" si="0"/>
        <v>106.67354458983897</v>
      </c>
      <c r="I16" s="43">
        <f t="shared" si="1"/>
        <v>119.99512530038339</v>
      </c>
      <c r="J16" s="44">
        <f t="shared" si="2"/>
        <v>34645.656777698889</v>
      </c>
      <c r="K16" s="43">
        <f t="shared" si="3"/>
        <v>118.89362045233733</v>
      </c>
      <c r="L16" s="43">
        <f t="shared" si="7"/>
        <v>2.2310533414296359</v>
      </c>
      <c r="M16" s="45">
        <f t="array" ref="M16">TREND($D$2:$D$26,$A$2:$A$26,A16)</f>
        <v>2816085.9932437367</v>
      </c>
      <c r="N16" s="43">
        <f t="shared" si="4"/>
        <v>-0.36909715359097517</v>
      </c>
      <c r="O16" s="43">
        <f t="shared" si="8"/>
        <v>0.90679725496939112</v>
      </c>
      <c r="P16" s="43">
        <f t="shared" si="9"/>
        <v>1.861455807023096</v>
      </c>
      <c r="Q16" s="43">
        <f t="shared" si="10"/>
        <v>-0.20000000000000018</v>
      </c>
      <c r="R16" s="43">
        <f t="shared" si="5"/>
        <v>6.0239999999999982</v>
      </c>
      <c r="S16" s="43">
        <f t="shared" si="6"/>
        <v>-1.3239999999999981</v>
      </c>
    </row>
    <row r="17" spans="1:19" ht="12" customHeight="1" x14ac:dyDescent="0.3">
      <c r="A17" s="33">
        <v>42005</v>
      </c>
      <c r="B17" s="8">
        <v>4.4000000000000004</v>
      </c>
      <c r="C17" s="8">
        <v>3091257</v>
      </c>
      <c r="D17" s="8">
        <v>2848427.8</v>
      </c>
      <c r="E17" s="8">
        <v>99.999993333333293</v>
      </c>
      <c r="F17" s="8">
        <v>81686611</v>
      </c>
      <c r="G17" s="3"/>
      <c r="H17" s="43">
        <f t="shared" si="0"/>
        <v>108.52502562992821</v>
      </c>
      <c r="I17" s="43">
        <f t="shared" si="1"/>
        <v>122.07782256380548</v>
      </c>
      <c r="J17" s="44">
        <f t="shared" si="2"/>
        <v>34870.191884934487</v>
      </c>
      <c r="K17" s="43">
        <f t="shared" si="3"/>
        <v>119.66415835811827</v>
      </c>
      <c r="L17" s="43">
        <f t="shared" si="7"/>
        <v>1.5231857781675853</v>
      </c>
      <c r="M17" s="45">
        <f t="array" ref="M17">TREND($D$2:$D$26,$A$2:$A$26,A17)</f>
        <v>2849593.5573710278</v>
      </c>
      <c r="N17" s="43">
        <f t="shared" si="4"/>
        <v>-4.0909601582039511E-2</v>
      </c>
      <c r="O17" s="43">
        <f t="shared" si="8"/>
        <v>0.51441353751660812</v>
      </c>
      <c r="P17" s="43">
        <f t="shared" si="9"/>
        <v>1.735651559351671</v>
      </c>
      <c r="Q17" s="43">
        <f t="shared" si="10"/>
        <v>-0.29999999999999982</v>
      </c>
      <c r="R17" s="43">
        <f t="shared" si="5"/>
        <v>6.0239999999999982</v>
      </c>
      <c r="S17" s="43">
        <f t="shared" si="6"/>
        <v>-1.6239999999999979</v>
      </c>
    </row>
    <row r="18" spans="1:19" ht="12" customHeight="1" x14ac:dyDescent="0.3">
      <c r="A18" s="33">
        <v>42370</v>
      </c>
      <c r="B18" s="8">
        <v>3.9</v>
      </c>
      <c r="C18" s="8">
        <v>3199199</v>
      </c>
      <c r="D18" s="8">
        <v>2911352.8</v>
      </c>
      <c r="E18" s="8">
        <v>100.491762499999</v>
      </c>
      <c r="F18" s="8">
        <v>82348669</v>
      </c>
      <c r="G18" s="3"/>
      <c r="H18" s="43">
        <f t="shared" si="0"/>
        <v>109.88702571533069</v>
      </c>
      <c r="I18" s="43">
        <f t="shared" si="1"/>
        <v>123.6099116261443</v>
      </c>
      <c r="J18" s="44">
        <f t="shared" si="2"/>
        <v>35353.975180825328</v>
      </c>
      <c r="K18" s="43">
        <f t="shared" si="3"/>
        <v>121.32435917151001</v>
      </c>
      <c r="L18" s="43">
        <f t="shared" si="7"/>
        <v>2.2091133923071529</v>
      </c>
      <c r="M18" s="45">
        <f t="array" ref="M18">TREND($D$2:$D$26,$A$2:$A$26,A18)</f>
        <v>2883101.1214983189</v>
      </c>
      <c r="N18" s="43">
        <f t="shared" si="4"/>
        <v>0.97990591765989965</v>
      </c>
      <c r="O18" s="43">
        <f t="shared" si="8"/>
        <v>0.49176919945031838</v>
      </c>
      <c r="P18" s="43">
        <f t="shared" si="9"/>
        <v>1.2550101485780099</v>
      </c>
      <c r="Q18" s="43">
        <f t="shared" si="10"/>
        <v>-0.50000000000000044</v>
      </c>
      <c r="R18" s="43">
        <f t="shared" si="5"/>
        <v>6.0239999999999982</v>
      </c>
      <c r="S18" s="43">
        <f t="shared" si="6"/>
        <v>-2.1239999999999983</v>
      </c>
    </row>
    <row r="19" spans="1:19" ht="12" customHeight="1" x14ac:dyDescent="0.3">
      <c r="A19" s="33">
        <v>42736</v>
      </c>
      <c r="B19" s="8">
        <v>3.5</v>
      </c>
      <c r="C19" s="8">
        <v>3349640</v>
      </c>
      <c r="D19" s="8">
        <v>3004193.2</v>
      </c>
      <c r="E19" s="8">
        <v>102.008674999999</v>
      </c>
      <c r="F19" s="8">
        <v>82657002</v>
      </c>
      <c r="G19" s="3"/>
      <c r="H19" s="43">
        <f t="shared" si="0"/>
        <v>111.49882104786069</v>
      </c>
      <c r="I19" s="43">
        <f t="shared" si="1"/>
        <v>125.42299080738988</v>
      </c>
      <c r="J19" s="44">
        <f t="shared" si="2"/>
        <v>36345.295949640175</v>
      </c>
      <c r="K19" s="43">
        <f t="shared" si="3"/>
        <v>124.7262780899546</v>
      </c>
      <c r="L19" s="43">
        <f t="shared" si="7"/>
        <v>3.1889092933017387</v>
      </c>
      <c r="M19" s="45">
        <f t="array" ref="M19">TREND($D$2:$D$26,$A$2:$A$26,A19)</f>
        <v>2916700.4871711642</v>
      </c>
      <c r="N19" s="43">
        <f t="shared" si="4"/>
        <v>2.9997153706273405</v>
      </c>
      <c r="O19" s="43">
        <f t="shared" si="8"/>
        <v>1.5094893972030978</v>
      </c>
      <c r="P19" s="43">
        <f t="shared" si="9"/>
        <v>1.4667749190932255</v>
      </c>
      <c r="Q19" s="43">
        <f t="shared" si="10"/>
        <v>-0.39999999999999991</v>
      </c>
      <c r="R19" s="43">
        <f t="shared" si="5"/>
        <v>6.0239999999999982</v>
      </c>
      <c r="S19" s="43">
        <f t="shared" si="6"/>
        <v>-2.5239999999999982</v>
      </c>
    </row>
    <row r="20" spans="1:19" ht="12" customHeight="1" x14ac:dyDescent="0.3">
      <c r="A20" s="33">
        <v>43101</v>
      </c>
      <c r="B20" s="8">
        <v>3.2</v>
      </c>
      <c r="C20" s="8">
        <v>3455472</v>
      </c>
      <c r="D20" s="8">
        <v>3042508.3</v>
      </c>
      <c r="E20" s="8">
        <v>103.775641666666</v>
      </c>
      <c r="F20" s="8">
        <v>82905782</v>
      </c>
      <c r="G20" s="3"/>
      <c r="H20" s="43">
        <f t="shared" si="0"/>
        <v>113.57313306261155</v>
      </c>
      <c r="I20" s="43">
        <f t="shared" si="1"/>
        <v>127.75634657126903</v>
      </c>
      <c r="J20" s="44">
        <f t="shared" si="2"/>
        <v>36698.384920849065</v>
      </c>
      <c r="K20" s="43">
        <f t="shared" si="3"/>
        <v>125.93797473632438</v>
      </c>
      <c r="L20" s="43">
        <f t="shared" si="7"/>
        <v>1.2753873485899518</v>
      </c>
      <c r="M20" s="45">
        <f t="array" ref="M20">TREND($D$2:$D$26,$A$2:$A$26,A20)</f>
        <v>2950208.0512984553</v>
      </c>
      <c r="N20" s="43">
        <f t="shared" si="4"/>
        <v>3.1286013425704327</v>
      </c>
      <c r="O20" s="43">
        <f t="shared" si="8"/>
        <v>1.7321729418277612</v>
      </c>
      <c r="P20" s="43">
        <f t="shared" si="9"/>
        <v>1.8603891908959862</v>
      </c>
      <c r="Q20" s="43">
        <f t="shared" si="10"/>
        <v>-0.29999999999999982</v>
      </c>
      <c r="R20" s="43">
        <f t="shared" si="5"/>
        <v>6.0239999999999982</v>
      </c>
      <c r="S20" s="43">
        <f t="shared" si="6"/>
        <v>-2.8239999999999981</v>
      </c>
    </row>
    <row r="21" spans="1:19" ht="12" customHeight="1" x14ac:dyDescent="0.3">
      <c r="A21" s="33">
        <v>43466</v>
      </c>
      <c r="B21" s="8">
        <v>3</v>
      </c>
      <c r="C21" s="8">
        <v>3563788</v>
      </c>
      <c r="D21" s="8">
        <v>3076475.8</v>
      </c>
      <c r="E21" s="8">
        <v>105.275883333333</v>
      </c>
      <c r="F21" s="8">
        <v>83092962</v>
      </c>
      <c r="G21" s="3"/>
      <c r="H21" s="43">
        <f t="shared" si="0"/>
        <v>115.83994907419716</v>
      </c>
      <c r="I21" s="43">
        <f t="shared" si="1"/>
        <v>130.30624657120811</v>
      </c>
      <c r="J21" s="44">
        <f t="shared" si="2"/>
        <v>37024.505156044383</v>
      </c>
      <c r="K21" s="43">
        <f t="shared" si="3"/>
        <v>127.05712267783771</v>
      </c>
      <c r="L21" s="43">
        <f t="shared" si="7"/>
        <v>1.1164308080934406</v>
      </c>
      <c r="M21" s="45">
        <f t="array" ref="M21">TREND($D$2:$D$26,$A$2:$A$26,A21)</f>
        <v>2983715.6154257469</v>
      </c>
      <c r="N21" s="43">
        <f t="shared" si="4"/>
        <v>3.1088815601153383</v>
      </c>
      <c r="O21" s="43">
        <f t="shared" si="8"/>
        <v>1.4456587717239722</v>
      </c>
      <c r="P21" s="43">
        <f t="shared" si="9"/>
        <v>1.9959086717594987</v>
      </c>
      <c r="Q21" s="43">
        <f t="shared" si="10"/>
        <v>-0.20000000000000018</v>
      </c>
      <c r="R21" s="43">
        <f t="shared" si="5"/>
        <v>6.0239999999999982</v>
      </c>
      <c r="S21" s="43">
        <f t="shared" si="6"/>
        <v>-3.0239999999999982</v>
      </c>
    </row>
    <row r="22" spans="1:19" ht="12" customHeight="1" x14ac:dyDescent="0.3">
      <c r="A22" s="33">
        <v>43831</v>
      </c>
      <c r="B22" s="8">
        <v>3.7</v>
      </c>
      <c r="C22" s="8">
        <v>3470290</v>
      </c>
      <c r="D22" s="8">
        <v>2941047.2</v>
      </c>
      <c r="E22" s="8">
        <v>105.428383333333</v>
      </c>
      <c r="F22" s="8">
        <v>83160871</v>
      </c>
      <c r="G22" s="3"/>
      <c r="H22" s="43">
        <f t="shared" si="0"/>
        <v>117.99504611826698</v>
      </c>
      <c r="I22" s="43">
        <f t="shared" si="1"/>
        <v>132.73047594159203</v>
      </c>
      <c r="J22" s="44">
        <f t="shared" si="2"/>
        <v>35365.757532770433</v>
      </c>
      <c r="K22" s="43">
        <f t="shared" si="3"/>
        <v>121.36479270951985</v>
      </c>
      <c r="L22" s="43">
        <f t="shared" si="7"/>
        <v>-4.4020694068193107</v>
      </c>
      <c r="M22" s="45">
        <f t="array" ref="M22">TREND($D$2:$D$26,$A$2:$A$26,A22)</f>
        <v>3017223.179553038</v>
      </c>
      <c r="N22" s="43">
        <f t="shared" si="4"/>
        <v>-2.5247048368600384</v>
      </c>
      <c r="O22" s="43">
        <f t="shared" si="8"/>
        <v>0.14485748793685785</v>
      </c>
      <c r="P22" s="43">
        <f t="shared" si="9"/>
        <v>1.8604091777435507</v>
      </c>
      <c r="Q22" s="43">
        <f t="shared" si="10"/>
        <v>0.70000000000000018</v>
      </c>
      <c r="R22" s="43">
        <f t="shared" si="5"/>
        <v>6.0239999999999982</v>
      </c>
      <c r="S22" s="43">
        <f t="shared" si="6"/>
        <v>-2.3239999999999981</v>
      </c>
    </row>
    <row r="23" spans="1:19" ht="12" customHeight="1" x14ac:dyDescent="0.3">
      <c r="A23" s="33">
        <v>44197</v>
      </c>
      <c r="B23" s="8">
        <v>3.6</v>
      </c>
      <c r="C23" s="8">
        <v>3703153</v>
      </c>
      <c r="D23" s="8">
        <v>3055918.6</v>
      </c>
      <c r="E23" s="8">
        <v>108.661533333333</v>
      </c>
      <c r="F23" s="8">
        <v>83196078</v>
      </c>
      <c r="G23" s="3"/>
      <c r="H23" s="43">
        <f t="shared" si="0"/>
        <v>121.17970027081218</v>
      </c>
      <c r="I23" s="43">
        <f t="shared" si="1"/>
        <v>136.31283533109567</v>
      </c>
      <c r="J23" s="44">
        <f t="shared" si="2"/>
        <v>36731.522368157785</v>
      </c>
      <c r="K23" s="43">
        <f t="shared" si="3"/>
        <v>126.05169262911429</v>
      </c>
      <c r="L23" s="43">
        <f t="shared" si="7"/>
        <v>3.9057992676894102</v>
      </c>
      <c r="M23" s="45">
        <f t="array" ref="M23">TREND($D$2:$D$26,$A$2:$A$26,A23)</f>
        <v>3050822.5452258834</v>
      </c>
      <c r="N23" s="43">
        <f t="shared" si="4"/>
        <v>0.16703871492268035</v>
      </c>
      <c r="O23" s="43">
        <f t="shared" si="8"/>
        <v>3.0666789129998722</v>
      </c>
      <c r="P23" s="43">
        <f t="shared" si="9"/>
        <v>2.698972759715013</v>
      </c>
      <c r="Q23" s="43">
        <f t="shared" si="10"/>
        <v>-0.10000000000000009</v>
      </c>
      <c r="R23" s="43">
        <f t="shared" si="5"/>
        <v>6.0239999999999982</v>
      </c>
      <c r="S23" s="43">
        <f t="shared" si="6"/>
        <v>-2.4239999999999982</v>
      </c>
    </row>
    <row r="24" spans="1:19" ht="12" customHeight="1" x14ac:dyDescent="0.3">
      <c r="A24" s="33">
        <v>44562</v>
      </c>
      <c r="B24" s="8">
        <v>3.1</v>
      </c>
      <c r="C24" s="8">
        <v>4003324</v>
      </c>
      <c r="D24" s="8">
        <v>3115527.8</v>
      </c>
      <c r="E24" s="8">
        <v>116.129374999999</v>
      </c>
      <c r="F24" s="8">
        <v>83177813</v>
      </c>
      <c r="G24" s="3"/>
      <c r="H24" s="43">
        <f t="shared" si="0"/>
        <v>128.49585229186528</v>
      </c>
      <c r="I24" s="43">
        <f t="shared" si="1"/>
        <v>144.54264134212178</v>
      </c>
      <c r="J24" s="44">
        <f t="shared" si="2"/>
        <v>37456.236075839115</v>
      </c>
      <c r="K24" s="43">
        <f t="shared" si="3"/>
        <v>128.53869517175718</v>
      </c>
      <c r="L24" s="43">
        <f t="shared" si="7"/>
        <v>1.9506147840456129</v>
      </c>
      <c r="M24" s="45">
        <f t="array" ref="M24">TREND($D$2:$D$26,$A$2:$A$26,A24)</f>
        <v>3084330.1093531745</v>
      </c>
      <c r="N24" s="43">
        <f t="shared" si="4"/>
        <v>1.0114900007693384</v>
      </c>
      <c r="O24" s="43">
        <f t="shared" si="8"/>
        <v>6.8725715877369922</v>
      </c>
      <c r="P24" s="43">
        <f t="shared" si="9"/>
        <v>6.037440268215696</v>
      </c>
      <c r="Q24" s="43">
        <f t="shared" si="10"/>
        <v>-0.5</v>
      </c>
      <c r="R24" s="43">
        <f t="shared" si="5"/>
        <v>6.0239999999999982</v>
      </c>
      <c r="S24" s="43">
        <f t="shared" si="6"/>
        <v>-2.9239999999999982</v>
      </c>
    </row>
    <row r="25" spans="1:19" ht="12" customHeight="1" x14ac:dyDescent="0.3">
      <c r="A25" s="33">
        <v>44927</v>
      </c>
      <c r="B25" s="8">
        <v>3.1</v>
      </c>
      <c r="C25" s="8">
        <v>4256017</v>
      </c>
      <c r="D25" s="8">
        <v>3090181</v>
      </c>
      <c r="E25" s="8">
        <v>123.034933333333</v>
      </c>
      <c r="F25" s="8">
        <v>83287273</v>
      </c>
      <c r="G25" s="3"/>
      <c r="H25" s="43">
        <f t="shared" si="0"/>
        <v>137.72711048317234</v>
      </c>
      <c r="I25" s="43">
        <f t="shared" si="1"/>
        <v>154.92671536539743</v>
      </c>
      <c r="J25" s="44">
        <f t="shared" si="2"/>
        <v>37102.679541446865</v>
      </c>
      <c r="K25" s="43">
        <f t="shared" si="3"/>
        <v>127.32539398719041</v>
      </c>
      <c r="L25" s="43">
        <f t="shared" si="7"/>
        <v>-0.81356359586968918</v>
      </c>
      <c r="M25" s="45">
        <f t="array" ref="M25">TREND($D$2:$D$26,$A$2:$A$26,A25)</f>
        <v>3117837.6734804655</v>
      </c>
      <c r="N25" s="43">
        <f t="shared" si="4"/>
        <v>-0.88704661296853826</v>
      </c>
      <c r="O25" s="43">
        <f t="shared" si="8"/>
        <v>5.9464354590163424</v>
      </c>
      <c r="P25" s="43">
        <f t="shared" si="9"/>
        <v>7.1840904018747613</v>
      </c>
      <c r="Q25" s="43">
        <f t="shared" si="10"/>
        <v>0</v>
      </c>
      <c r="R25" s="43">
        <f t="shared" si="5"/>
        <v>6.0239999999999982</v>
      </c>
      <c r="S25" s="43">
        <f t="shared" si="6"/>
        <v>-2.9239999999999982</v>
      </c>
    </row>
    <row r="26" spans="1:19" ht="12" customHeight="1" x14ac:dyDescent="0.3">
      <c r="A26" s="34">
        <v>45292</v>
      </c>
      <c r="B26" s="8">
        <v>3.4</v>
      </c>
      <c r="C26" s="8">
        <v>4389409</v>
      </c>
      <c r="D26" s="8">
        <v>3091433.5</v>
      </c>
      <c r="E26" s="8">
        <v>125.811208333333</v>
      </c>
      <c r="F26" s="8">
        <v>83516593</v>
      </c>
      <c r="G26" s="3"/>
      <c r="H26" s="43">
        <f t="shared" si="0"/>
        <v>141.98620154695226</v>
      </c>
      <c r="I26" s="43">
        <f t="shared" si="1"/>
        <v>159.71768924583878</v>
      </c>
      <c r="J26" s="44">
        <f t="shared" si="2"/>
        <v>37015.799962050653</v>
      </c>
      <c r="K26" s="43">
        <f t="shared" si="3"/>
        <v>127.02724903343561</v>
      </c>
      <c r="L26" s="43">
        <f t="shared" si="7"/>
        <v>4.0531606401049004E-2</v>
      </c>
      <c r="M26" s="45">
        <f t="array" ref="M26">TREND($D$2:$D$26,$A$2:$A$26,A26)</f>
        <v>3151345.2376077566</v>
      </c>
      <c r="N26" s="43">
        <f t="shared" si="4"/>
        <v>-1.9011480206223521</v>
      </c>
      <c r="O26" s="43">
        <f t="shared" si="8"/>
        <v>2.2564932777899438</v>
      </c>
      <c r="P26" s="43">
        <f t="shared" si="9"/>
        <v>3.0924129961328859</v>
      </c>
      <c r="Q26" s="43">
        <f t="shared" si="10"/>
        <v>0.29999999999999982</v>
      </c>
      <c r="R26" s="43">
        <f t="shared" si="5"/>
        <v>6.0239999999999982</v>
      </c>
      <c r="S26" s="43">
        <f t="shared" si="6"/>
        <v>-2.6239999999999983</v>
      </c>
    </row>
    <row r="27" spans="1:19" ht="12" customHeight="1" x14ac:dyDescent="0.3">
      <c r="A27" s="35" t="s">
        <v>18</v>
      </c>
      <c r="B27" s="9" t="s">
        <v>77</v>
      </c>
      <c r="C27" s="9" t="s">
        <v>78</v>
      </c>
      <c r="D27" s="9" t="s">
        <v>79</v>
      </c>
      <c r="E27" s="9" t="s">
        <v>80</v>
      </c>
      <c r="F27" s="9" t="s">
        <v>81</v>
      </c>
      <c r="G27" s="25"/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</row>
    <row r="28" spans="1:19" ht="36.75" customHeight="1" x14ac:dyDescent="0.3">
      <c r="A28" s="35"/>
      <c r="B28" s="10"/>
      <c r="C28" s="10"/>
      <c r="D28" s="10"/>
      <c r="E28" s="10"/>
      <c r="F28" s="10"/>
      <c r="G28" s="24"/>
      <c r="H28" s="7" t="s">
        <v>25</v>
      </c>
      <c r="I28" s="7" t="s">
        <v>26</v>
      </c>
      <c r="J28" s="7" t="s">
        <v>82</v>
      </c>
      <c r="K28" s="7" t="s">
        <v>28</v>
      </c>
      <c r="L28" s="7" t="s">
        <v>29</v>
      </c>
      <c r="M28" s="7" t="s">
        <v>30</v>
      </c>
      <c r="N28" s="7" t="s">
        <v>31</v>
      </c>
      <c r="O28" s="7" t="s">
        <v>32</v>
      </c>
      <c r="P28" s="7" t="s">
        <v>33</v>
      </c>
      <c r="Q28" s="7" t="s">
        <v>34</v>
      </c>
      <c r="R28" s="7" t="s">
        <v>35</v>
      </c>
      <c r="S28" s="7" t="s">
        <v>36</v>
      </c>
    </row>
    <row r="29" spans="1:19" ht="12" customHeight="1" x14ac:dyDescent="0.3">
      <c r="A29" s="35" t="s">
        <v>37</v>
      </c>
      <c r="B29" s="10" t="s">
        <v>38</v>
      </c>
      <c r="C29" s="10" t="s">
        <v>38</v>
      </c>
      <c r="D29" s="10" t="s">
        <v>38</v>
      </c>
      <c r="E29" s="10" t="s">
        <v>38</v>
      </c>
      <c r="F29" s="10" t="s">
        <v>38</v>
      </c>
      <c r="G29" s="24" t="s">
        <v>39</v>
      </c>
      <c r="H29" s="7" t="s">
        <v>38</v>
      </c>
      <c r="I29" s="7" t="s">
        <v>38</v>
      </c>
      <c r="J29" s="7" t="s">
        <v>38</v>
      </c>
      <c r="K29" s="7" t="s">
        <v>38</v>
      </c>
      <c r="L29" s="7" t="s">
        <v>40</v>
      </c>
      <c r="M29" s="7" t="s">
        <v>38</v>
      </c>
      <c r="N29" s="7" t="s">
        <v>38</v>
      </c>
      <c r="O29" s="7" t="s">
        <v>40</v>
      </c>
      <c r="P29" s="7" t="s">
        <v>40</v>
      </c>
      <c r="Q29" s="7" t="s">
        <v>40</v>
      </c>
      <c r="R29" s="7" t="s">
        <v>38</v>
      </c>
      <c r="S29" s="7" t="s">
        <v>38</v>
      </c>
    </row>
    <row r="30" spans="1:19" ht="24" customHeight="1" x14ac:dyDescent="0.3">
      <c r="A30" s="35" t="s">
        <v>41</v>
      </c>
      <c r="B30" s="11" t="s">
        <v>83</v>
      </c>
      <c r="C30" s="11" t="s">
        <v>84</v>
      </c>
      <c r="D30" s="11" t="s">
        <v>85</v>
      </c>
      <c r="E30" s="11" t="s">
        <v>86</v>
      </c>
      <c r="F30" s="11" t="s">
        <v>87</v>
      </c>
      <c r="G30" s="24" t="s">
        <v>47</v>
      </c>
      <c r="H30" s="7" t="s">
        <v>48</v>
      </c>
      <c r="I30" s="7" t="s">
        <v>49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54</v>
      </c>
      <c r="O30" s="7" t="s">
        <v>55</v>
      </c>
      <c r="P30" s="7" t="s">
        <v>49</v>
      </c>
      <c r="Q30" s="7" t="s">
        <v>56</v>
      </c>
      <c r="R30" s="7" t="s">
        <v>56</v>
      </c>
      <c r="S30" s="7" t="s">
        <v>57</v>
      </c>
    </row>
    <row r="31" spans="1:19" ht="48.75" customHeight="1" x14ac:dyDescent="0.3">
      <c r="A31" s="36" t="s">
        <v>58</v>
      </c>
      <c r="B31" s="10" t="s">
        <v>59</v>
      </c>
      <c r="C31" s="10" t="s">
        <v>88</v>
      </c>
      <c r="D31" s="10" t="s">
        <v>89</v>
      </c>
      <c r="E31" s="10" t="s">
        <v>59</v>
      </c>
      <c r="F31" s="10" t="s">
        <v>90</v>
      </c>
      <c r="G31" s="24" t="s">
        <v>61</v>
      </c>
      <c r="H31" s="7" t="s">
        <v>62</v>
      </c>
      <c r="I31" s="7" t="s">
        <v>63</v>
      </c>
      <c r="J31" s="7" t="s">
        <v>91</v>
      </c>
      <c r="K31" s="7" t="s">
        <v>65</v>
      </c>
      <c r="L31" s="7" t="s">
        <v>66</v>
      </c>
      <c r="M31" s="7" t="s">
        <v>67</v>
      </c>
      <c r="N31" s="7" t="s">
        <v>68</v>
      </c>
      <c r="O31" s="7" t="s">
        <v>69</v>
      </c>
      <c r="P31" s="7" t="s">
        <v>70</v>
      </c>
      <c r="Q31" s="7" t="s">
        <v>71</v>
      </c>
      <c r="R31" s="7" t="s">
        <v>72</v>
      </c>
      <c r="S31" s="7" t="s">
        <v>73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topLeftCell="F31" zoomScale="55" zoomScaleNormal="70" workbookViewId="0">
      <selection activeCell="H1" sqref="H1:H26"/>
    </sheetView>
  </sheetViews>
  <sheetFormatPr defaultColWidth="8.5546875" defaultRowHeight="14.25" customHeight="1" x14ac:dyDescent="0.3"/>
  <cols>
    <col min="1" max="1" width="23.77734375" customWidth="1"/>
    <col min="2" max="7" width="27.44140625" customWidth="1"/>
    <col min="8" max="8" width="7.44140625" customWidth="1"/>
    <col min="9" max="9" width="17.6640625" customWidth="1"/>
    <col min="10" max="10" width="34.33203125" customWidth="1"/>
    <col min="11" max="11" width="37.88671875" customWidth="1"/>
    <col min="12" max="12" width="42" customWidth="1"/>
    <col min="13" max="13" width="23.77734375" customWidth="1"/>
    <col min="14" max="14" width="31.33203125" customWidth="1"/>
    <col min="15" max="15" width="27" customWidth="1"/>
    <col min="16" max="16" width="23.77734375" customWidth="1"/>
    <col min="17" max="17" width="34.21875" customWidth="1"/>
    <col min="18" max="18" width="39.109375" customWidth="1"/>
    <col min="19" max="19" width="36.21875" customWidth="1"/>
    <col min="20" max="20" width="27.21875" customWidth="1"/>
  </cols>
  <sheetData>
    <row r="1" spans="1:20" ht="12" customHeight="1" x14ac:dyDescent="0.3">
      <c r="A1" s="38" t="s">
        <v>0</v>
      </c>
      <c r="B1" s="38" t="s">
        <v>92</v>
      </c>
      <c r="C1" s="38" t="s">
        <v>93</v>
      </c>
      <c r="D1" s="38" t="s">
        <v>94</v>
      </c>
      <c r="E1" s="38" t="s">
        <v>95</v>
      </c>
      <c r="F1" s="38" t="s">
        <v>96</v>
      </c>
      <c r="G1" s="39" t="s">
        <v>97</v>
      </c>
      <c r="H1" s="31"/>
      <c r="I1" s="31" t="s">
        <v>6</v>
      </c>
      <c r="J1" s="31" t="s">
        <v>7</v>
      </c>
      <c r="K1" s="31" t="s">
        <v>98</v>
      </c>
      <c r="L1" s="31" t="s">
        <v>9</v>
      </c>
      <c r="M1" s="31" t="s">
        <v>10</v>
      </c>
      <c r="N1" s="31" t="s">
        <v>11</v>
      </c>
      <c r="O1" s="31" t="s">
        <v>12</v>
      </c>
      <c r="P1" s="31" t="s">
        <v>13</v>
      </c>
      <c r="Q1" s="31" t="s">
        <v>14</v>
      </c>
      <c r="R1" s="31" t="s">
        <v>15</v>
      </c>
      <c r="S1" s="31" t="s">
        <v>16</v>
      </c>
      <c r="T1" s="31" t="s">
        <v>17</v>
      </c>
    </row>
    <row r="2" spans="1:20" ht="12" customHeight="1" x14ac:dyDescent="0.3">
      <c r="A2" s="48">
        <v>36526</v>
      </c>
      <c r="B2" s="8">
        <v>6.84</v>
      </c>
      <c r="C2" s="8">
        <v>10130860</v>
      </c>
      <c r="D2" s="46">
        <f>C2</f>
        <v>10130860</v>
      </c>
      <c r="E2" s="8">
        <v>70.456424166666594</v>
      </c>
      <c r="F2" s="8">
        <v>1262645000</v>
      </c>
      <c r="G2" s="8">
        <v>8.6</v>
      </c>
      <c r="H2" s="3"/>
      <c r="I2" s="32">
        <f t="shared" ref="I2:I26" si="0">C2/D2*100</f>
        <v>100</v>
      </c>
      <c r="J2" s="32">
        <f t="shared" ref="J2:J26" si="1">I2/$I$2*100</f>
        <v>100</v>
      </c>
      <c r="K2" s="32">
        <f t="shared" ref="K2:K26" si="2">(D2*1000000)/F2</f>
        <v>8023.5220509327637</v>
      </c>
      <c r="L2" s="32">
        <f t="shared" ref="L2:L26" si="3">K2/$K$2*100</f>
        <v>100</v>
      </c>
      <c r="M2" s="32"/>
      <c r="N2" s="32">
        <f t="array" ref="N2">TREND($D$2:$D$26,$A$2:$A$26,A2)</f>
        <v>5169482.5477323532</v>
      </c>
      <c r="O2" s="32">
        <f t="shared" ref="O2:O26" si="4">(D2-N2)/N2*100</f>
        <v>95.97435345717544</v>
      </c>
      <c r="P2" s="32"/>
      <c r="Q2" s="32"/>
      <c r="R2" s="32"/>
      <c r="S2" s="32">
        <f t="shared" ref="S2:S26" si="5">AVERAGE($B$2:$B$26)</f>
        <v>10.558480000000001</v>
      </c>
      <c r="T2" s="32">
        <f t="shared" ref="T2:T26" si="6">B2-S2</f>
        <v>-3.7184800000000013</v>
      </c>
    </row>
    <row r="3" spans="1:20" ht="12" customHeight="1" x14ac:dyDescent="0.3">
      <c r="A3" s="48">
        <v>36892</v>
      </c>
      <c r="B3" s="8">
        <v>7.9939999999999998</v>
      </c>
      <c r="C3" s="8">
        <v>11215730</v>
      </c>
      <c r="D3" s="46">
        <f t="shared" ref="D3:D26" si="7">D2*(1+G3/100)</f>
        <v>10971721.379999999</v>
      </c>
      <c r="E3" s="8">
        <v>70.963099166666595</v>
      </c>
      <c r="F3" s="8">
        <v>1271850000</v>
      </c>
      <c r="G3" s="8">
        <v>8.3000000000000007</v>
      </c>
      <c r="H3" s="3"/>
      <c r="I3" s="32">
        <f t="shared" si="0"/>
        <v>102.22397754690343</v>
      </c>
      <c r="J3" s="32">
        <f t="shared" si="1"/>
        <v>102.22397754690343</v>
      </c>
      <c r="K3" s="32">
        <f t="shared" si="2"/>
        <v>8626.5844085387416</v>
      </c>
      <c r="L3" s="32">
        <f t="shared" si="3"/>
        <v>107.51617997405354</v>
      </c>
      <c r="M3" s="32">
        <f t="shared" ref="M3:M26" si="8">(D3-D2)/D2*100</f>
        <v>8.2999999999999901</v>
      </c>
      <c r="N3" s="32">
        <f t="array" ref="N3">TREND($D$2:$D$26,$A$2:$A$26,A3)</f>
        <v>7614700.5223011672</v>
      </c>
      <c r="O3" s="32">
        <f t="shared" si="4"/>
        <v>44.086052338724649</v>
      </c>
      <c r="P3" s="32">
        <f t="shared" ref="P3:P26" si="9">(E3-E2)/E2*100</f>
        <v>0.71913243681150751</v>
      </c>
      <c r="Q3" s="32">
        <f t="shared" ref="Q3:Q26" si="10">(I3-I2)/I2*100</f>
        <v>2.2239775469034271</v>
      </c>
      <c r="R3" s="32">
        <f t="shared" ref="R3:R26" si="11">B3-B2</f>
        <v>1.1539999999999999</v>
      </c>
      <c r="S3" s="32">
        <f t="shared" si="5"/>
        <v>10.558480000000001</v>
      </c>
      <c r="T3" s="32">
        <f t="shared" si="6"/>
        <v>-2.5644800000000014</v>
      </c>
    </row>
    <row r="4" spans="1:20" ht="12" customHeight="1" x14ac:dyDescent="0.3">
      <c r="A4" s="48">
        <v>37257</v>
      </c>
      <c r="B4" s="8">
        <v>8.9190000000000005</v>
      </c>
      <c r="C4" s="8">
        <v>12331180</v>
      </c>
      <c r="D4" s="46">
        <f t="shared" si="7"/>
        <v>11981119.746959999</v>
      </c>
      <c r="E4" s="8">
        <v>70.443666666666601</v>
      </c>
      <c r="F4" s="8">
        <v>1280400000</v>
      </c>
      <c r="G4" s="8">
        <v>9.1999999999999993</v>
      </c>
      <c r="H4" s="3"/>
      <c r="I4" s="32">
        <f t="shared" si="0"/>
        <v>102.92176574838776</v>
      </c>
      <c r="J4" s="32">
        <f t="shared" si="1"/>
        <v>102.92176574838776</v>
      </c>
      <c r="K4" s="32">
        <f t="shared" si="2"/>
        <v>9357.32563805061</v>
      </c>
      <c r="L4" s="32">
        <f t="shared" si="3"/>
        <v>116.6236669962512</v>
      </c>
      <c r="M4" s="32">
        <f t="shared" si="8"/>
        <v>9.2000000000000028</v>
      </c>
      <c r="N4" s="32">
        <f t="array" ref="N4">TREND($D$2:$D$26,$A$2:$A$26,A4)</f>
        <v>10053237.573442221</v>
      </c>
      <c r="O4" s="32">
        <f t="shared" si="4"/>
        <v>19.176729480766394</v>
      </c>
      <c r="P4" s="32">
        <f t="shared" si="9"/>
        <v>-0.73197550008355039</v>
      </c>
      <c r="Q4" s="32">
        <f t="shared" si="10"/>
        <v>0.68260717126191139</v>
      </c>
      <c r="R4" s="32">
        <f t="shared" si="11"/>
        <v>0.92500000000000071</v>
      </c>
      <c r="S4" s="32">
        <f t="shared" si="5"/>
        <v>10.558480000000001</v>
      </c>
      <c r="T4" s="32">
        <f t="shared" si="6"/>
        <v>-1.6394800000000007</v>
      </c>
    </row>
    <row r="5" spans="1:20" ht="12" customHeight="1" x14ac:dyDescent="0.3">
      <c r="A5" s="48">
        <v>37622</v>
      </c>
      <c r="B5" s="8">
        <v>9.6240000000000006</v>
      </c>
      <c r="C5" s="8">
        <v>13937730</v>
      </c>
      <c r="D5" s="46">
        <f t="shared" si="7"/>
        <v>13191212.841402959</v>
      </c>
      <c r="E5" s="8">
        <v>71.237990833333299</v>
      </c>
      <c r="F5" s="8">
        <v>1288400000</v>
      </c>
      <c r="G5" s="8">
        <v>10.1</v>
      </c>
      <c r="H5" s="3"/>
      <c r="I5" s="32">
        <f t="shared" si="0"/>
        <v>105.6592003144242</v>
      </c>
      <c r="J5" s="32">
        <f t="shared" si="1"/>
        <v>105.6592003144242</v>
      </c>
      <c r="K5" s="32">
        <f t="shared" si="2"/>
        <v>10238.445235488171</v>
      </c>
      <c r="L5" s="32">
        <f t="shared" si="3"/>
        <v>127.60537293342284</v>
      </c>
      <c r="M5" s="32">
        <f t="shared" si="8"/>
        <v>10.1</v>
      </c>
      <c r="N5" s="32">
        <f t="array" ref="N5">TREND($D$2:$D$26,$A$2:$A$26,A5)</f>
        <v>12491774.624583244</v>
      </c>
      <c r="O5" s="32">
        <f t="shared" si="4"/>
        <v>5.5991901698518651</v>
      </c>
      <c r="P5" s="32">
        <f t="shared" si="9"/>
        <v>1.1276019609049763</v>
      </c>
      <c r="Q5" s="32">
        <f t="shared" si="10"/>
        <v>2.6597236708206422</v>
      </c>
      <c r="R5" s="32">
        <f t="shared" si="11"/>
        <v>0.70500000000000007</v>
      </c>
      <c r="S5" s="32">
        <f t="shared" si="5"/>
        <v>10.558480000000001</v>
      </c>
      <c r="T5" s="32">
        <f t="shared" si="6"/>
        <v>-0.93448000000000064</v>
      </c>
    </row>
    <row r="6" spans="1:20" ht="12" customHeight="1" x14ac:dyDescent="0.3">
      <c r="A6" s="48">
        <v>37987</v>
      </c>
      <c r="B6" s="8">
        <v>9.4329999999999998</v>
      </c>
      <c r="C6" s="8">
        <v>16422790</v>
      </c>
      <c r="D6" s="46">
        <f t="shared" si="7"/>
        <v>14523525.338384658</v>
      </c>
      <c r="E6" s="8">
        <v>73.962585833333307</v>
      </c>
      <c r="F6" s="8">
        <v>1296075000</v>
      </c>
      <c r="G6" s="8">
        <v>10.1</v>
      </c>
      <c r="H6" s="3"/>
      <c r="I6" s="32">
        <f t="shared" si="0"/>
        <v>113.07716010654603</v>
      </c>
      <c r="J6" s="32">
        <f t="shared" si="1"/>
        <v>113.07716010654603</v>
      </c>
      <c r="K6" s="32">
        <f t="shared" si="2"/>
        <v>11205.775389838287</v>
      </c>
      <c r="L6" s="32">
        <f t="shared" si="3"/>
        <v>139.6615516066984</v>
      </c>
      <c r="M6" s="32">
        <f t="shared" si="8"/>
        <v>10.100000000000001</v>
      </c>
      <c r="N6" s="32">
        <f t="array" ref="N6">TREND($D$2:$D$26,$A$2:$A$26,A6)</f>
        <v>14930311.675724268</v>
      </c>
      <c r="O6" s="32">
        <f t="shared" si="4"/>
        <v>-2.7245669492688385</v>
      </c>
      <c r="P6" s="32">
        <f t="shared" si="9"/>
        <v>3.8246376240093651</v>
      </c>
      <c r="Q6" s="32">
        <f t="shared" si="10"/>
        <v>7.0206472981502994</v>
      </c>
      <c r="R6" s="32">
        <f t="shared" si="11"/>
        <v>-0.19100000000000072</v>
      </c>
      <c r="S6" s="32">
        <f t="shared" si="5"/>
        <v>10.558480000000001</v>
      </c>
      <c r="T6" s="32">
        <f t="shared" si="6"/>
        <v>-1.1254800000000014</v>
      </c>
    </row>
    <row r="7" spans="1:20" ht="12" customHeight="1" x14ac:dyDescent="0.3">
      <c r="A7" s="48">
        <v>38353</v>
      </c>
      <c r="B7" s="8">
        <v>9.4949999999999992</v>
      </c>
      <c r="C7" s="8">
        <v>18990750</v>
      </c>
      <c r="D7" s="46">
        <f t="shared" si="7"/>
        <v>16193730.752298893</v>
      </c>
      <c r="E7" s="8">
        <v>75.276469166666601</v>
      </c>
      <c r="F7" s="8">
        <v>1303720000</v>
      </c>
      <c r="G7" s="8">
        <v>11.5</v>
      </c>
      <c r="H7" s="3"/>
      <c r="I7" s="32">
        <f t="shared" si="0"/>
        <v>117.27223510434146</v>
      </c>
      <c r="J7" s="32">
        <f t="shared" si="1"/>
        <v>117.27223510434146</v>
      </c>
      <c r="K7" s="32">
        <f t="shared" si="2"/>
        <v>12421.172301030047</v>
      </c>
      <c r="L7" s="32">
        <f t="shared" si="3"/>
        <v>154.80947422068891</v>
      </c>
      <c r="M7" s="32">
        <f t="shared" si="8"/>
        <v>11.499999999999998</v>
      </c>
      <c r="N7" s="32">
        <f t="array" ref="N7">TREND($D$2:$D$26,$A$2:$A$26,A7)</f>
        <v>17375529.650293112</v>
      </c>
      <c r="O7" s="32">
        <f t="shared" si="4"/>
        <v>-6.8015129425092509</v>
      </c>
      <c r="P7" s="32">
        <f t="shared" si="9"/>
        <v>1.7764161684314124</v>
      </c>
      <c r="Q7" s="32">
        <f t="shared" si="10"/>
        <v>3.7099224934926336</v>
      </c>
      <c r="R7" s="32">
        <f t="shared" si="11"/>
        <v>6.1999999999999389E-2</v>
      </c>
      <c r="S7" s="32">
        <f t="shared" si="5"/>
        <v>10.558480000000001</v>
      </c>
      <c r="T7" s="32">
        <f t="shared" si="6"/>
        <v>-1.063480000000002</v>
      </c>
    </row>
    <row r="8" spans="1:20" ht="12" customHeight="1" x14ac:dyDescent="0.3">
      <c r="A8" s="48">
        <v>38718</v>
      </c>
      <c r="B8" s="8">
        <v>9.3309999999999995</v>
      </c>
      <c r="C8" s="8">
        <v>22257830</v>
      </c>
      <c r="D8" s="46">
        <f t="shared" si="7"/>
        <v>18250334.557840854</v>
      </c>
      <c r="E8" s="8">
        <v>76.518104166666603</v>
      </c>
      <c r="F8" s="8">
        <v>1311020000</v>
      </c>
      <c r="G8" s="8">
        <v>12.7</v>
      </c>
      <c r="H8" s="3"/>
      <c r="I8" s="32">
        <f t="shared" si="0"/>
        <v>121.95847659372039</v>
      </c>
      <c r="J8" s="32">
        <f t="shared" si="1"/>
        <v>121.95847659372039</v>
      </c>
      <c r="K8" s="32">
        <f t="shared" si="2"/>
        <v>13920.714068313875</v>
      </c>
      <c r="L8" s="32">
        <f t="shared" si="3"/>
        <v>173.49879491757042</v>
      </c>
      <c r="M8" s="32">
        <f t="shared" si="8"/>
        <v>12.700000000000006</v>
      </c>
      <c r="N8" s="32">
        <f t="array" ref="N8">TREND($D$2:$D$26,$A$2:$A$26,A8)</f>
        <v>19814066.701434135</v>
      </c>
      <c r="O8" s="32">
        <f t="shared" si="4"/>
        <v>-7.8920302790749117</v>
      </c>
      <c r="P8" s="32">
        <f t="shared" si="9"/>
        <v>1.6494331013997856</v>
      </c>
      <c r="Q8" s="32">
        <f t="shared" si="10"/>
        <v>3.996036645169597</v>
      </c>
      <c r="R8" s="32">
        <f t="shared" si="11"/>
        <v>-0.1639999999999997</v>
      </c>
      <c r="S8" s="32">
        <f t="shared" si="5"/>
        <v>10.558480000000001</v>
      </c>
      <c r="T8" s="32">
        <f t="shared" si="6"/>
        <v>-1.2274800000000017</v>
      </c>
    </row>
    <row r="9" spans="1:20" ht="12" customHeight="1" x14ac:dyDescent="0.3">
      <c r="A9" s="48">
        <v>39083</v>
      </c>
      <c r="B9" s="8">
        <v>9.2240000000000002</v>
      </c>
      <c r="C9" s="8">
        <v>27417970</v>
      </c>
      <c r="D9" s="46">
        <f t="shared" si="7"/>
        <v>20841882.065054253</v>
      </c>
      <c r="E9" s="8">
        <v>80.203801666666607</v>
      </c>
      <c r="F9" s="8">
        <v>1317885000</v>
      </c>
      <c r="G9" s="8">
        <v>14.2</v>
      </c>
      <c r="H9" s="3"/>
      <c r="I9" s="32">
        <f t="shared" si="0"/>
        <v>131.5522749549184</v>
      </c>
      <c r="J9" s="32">
        <f t="shared" si="1"/>
        <v>131.5522749549184</v>
      </c>
      <c r="K9" s="32">
        <f t="shared" si="2"/>
        <v>15814.643967458658</v>
      </c>
      <c r="L9" s="32">
        <f t="shared" si="3"/>
        <v>197.10351472917242</v>
      </c>
      <c r="M9" s="32">
        <f t="shared" si="8"/>
        <v>14.199999999999987</v>
      </c>
      <c r="N9" s="32">
        <f t="array" ref="N9">TREND($D$2:$D$26,$A$2:$A$26,A9)</f>
        <v>22252603.752575189</v>
      </c>
      <c r="O9" s="32">
        <f t="shared" si="4"/>
        <v>-6.3395803170120262</v>
      </c>
      <c r="P9" s="32">
        <f t="shared" si="9"/>
        <v>4.8167653134375419</v>
      </c>
      <c r="Q9" s="32">
        <f t="shared" si="10"/>
        <v>7.8664465391428102</v>
      </c>
      <c r="R9" s="32">
        <f t="shared" si="11"/>
        <v>-0.10699999999999932</v>
      </c>
      <c r="S9" s="32">
        <f t="shared" si="5"/>
        <v>10.558480000000001</v>
      </c>
      <c r="T9" s="32">
        <f t="shared" si="6"/>
        <v>-1.334480000000001</v>
      </c>
    </row>
    <row r="10" spans="1:20" ht="12" customHeight="1" x14ac:dyDescent="0.3">
      <c r="A10" s="48">
        <v>39448</v>
      </c>
      <c r="B10" s="8">
        <v>9.8030000000000008</v>
      </c>
      <c r="C10" s="8">
        <v>32431790</v>
      </c>
      <c r="D10" s="46">
        <f t="shared" si="7"/>
        <v>22863544.625364516</v>
      </c>
      <c r="E10" s="8">
        <v>84.956081666666606</v>
      </c>
      <c r="F10" s="8">
        <v>1324655000</v>
      </c>
      <c r="G10" s="8">
        <v>9.6999999999999993</v>
      </c>
      <c r="H10" s="3"/>
      <c r="I10" s="32">
        <f t="shared" si="0"/>
        <v>141.84935245788878</v>
      </c>
      <c r="J10" s="32">
        <f t="shared" si="1"/>
        <v>141.84935245788878</v>
      </c>
      <c r="K10" s="32">
        <f t="shared" si="2"/>
        <v>17259.999490708535</v>
      </c>
      <c r="L10" s="32">
        <f t="shared" si="3"/>
        <v>215.11749305533471</v>
      </c>
      <c r="M10" s="32">
        <f t="shared" si="8"/>
        <v>9.7000000000000028</v>
      </c>
      <c r="N10" s="32">
        <f t="array" ref="N10">TREND($D$2:$D$26,$A$2:$A$26,A10)</f>
        <v>24691140.803716213</v>
      </c>
      <c r="O10" s="32">
        <f t="shared" si="4"/>
        <v>-7.4018296395467837</v>
      </c>
      <c r="P10" s="32">
        <f t="shared" si="9"/>
        <v>5.9252552887091978</v>
      </c>
      <c r="Q10" s="32">
        <f t="shared" si="10"/>
        <v>7.827365590218097</v>
      </c>
      <c r="R10" s="32">
        <f t="shared" si="11"/>
        <v>0.57900000000000063</v>
      </c>
      <c r="S10" s="32">
        <f t="shared" si="5"/>
        <v>10.558480000000001</v>
      </c>
      <c r="T10" s="32">
        <f t="shared" si="6"/>
        <v>-0.75548000000000037</v>
      </c>
    </row>
    <row r="11" spans="1:20" ht="12" customHeight="1" x14ac:dyDescent="0.3">
      <c r="A11" s="48">
        <v>39814</v>
      </c>
      <c r="B11" s="8">
        <v>10.15</v>
      </c>
      <c r="C11" s="8">
        <v>35452160</v>
      </c>
      <c r="D11" s="46">
        <f t="shared" si="7"/>
        <v>25012717.820148781</v>
      </c>
      <c r="E11" s="8">
        <v>84.337455833333294</v>
      </c>
      <c r="F11" s="8">
        <v>1331260000</v>
      </c>
      <c r="G11" s="8">
        <v>9.4</v>
      </c>
      <c r="H11" s="3"/>
      <c r="I11" s="32">
        <f t="shared" si="0"/>
        <v>141.73653680865425</v>
      </c>
      <c r="J11" s="32">
        <f t="shared" si="1"/>
        <v>141.73653680865425</v>
      </c>
      <c r="K11" s="32">
        <f t="shared" si="2"/>
        <v>18788.754878948352</v>
      </c>
      <c r="L11" s="32">
        <f t="shared" si="3"/>
        <v>234.17091346765963</v>
      </c>
      <c r="M11" s="32">
        <f t="shared" si="8"/>
        <v>9.4000000000000021</v>
      </c>
      <c r="N11" s="32">
        <f t="array" ref="N11">TREND($D$2:$D$26,$A$2:$A$26,A11)</f>
        <v>27136358.778285027</v>
      </c>
      <c r="O11" s="32">
        <f t="shared" si="4"/>
        <v>-7.8258139770602506</v>
      </c>
      <c r="P11" s="32">
        <f t="shared" si="9"/>
        <v>-0.72817133417304913</v>
      </c>
      <c r="Q11" s="32">
        <f t="shared" si="10"/>
        <v>-7.9532015677002063E-2</v>
      </c>
      <c r="R11" s="32">
        <f t="shared" si="11"/>
        <v>0.34699999999999953</v>
      </c>
      <c r="S11" s="32">
        <f t="shared" si="5"/>
        <v>10.558480000000001</v>
      </c>
      <c r="T11" s="32">
        <f t="shared" si="6"/>
        <v>-0.40848000000000084</v>
      </c>
    </row>
    <row r="12" spans="1:20" ht="12" customHeight="1" x14ac:dyDescent="0.3">
      <c r="A12" s="48">
        <v>40179</v>
      </c>
      <c r="B12" s="8">
        <v>9.8230000000000004</v>
      </c>
      <c r="C12" s="8">
        <v>41925330</v>
      </c>
      <c r="D12" s="46">
        <f t="shared" si="7"/>
        <v>27664065.909084555</v>
      </c>
      <c r="E12" s="8">
        <v>87.015446666666605</v>
      </c>
      <c r="F12" s="8">
        <v>1337705000</v>
      </c>
      <c r="G12" s="8">
        <v>10.6</v>
      </c>
      <c r="H12" s="3"/>
      <c r="I12" s="32">
        <f t="shared" si="0"/>
        <v>151.55158369627878</v>
      </c>
      <c r="J12" s="32">
        <f t="shared" si="1"/>
        <v>151.55158369627878</v>
      </c>
      <c r="K12" s="32">
        <f t="shared" si="2"/>
        <v>20680.244081531095</v>
      </c>
      <c r="L12" s="32">
        <f t="shared" si="3"/>
        <v>257.74521401267839</v>
      </c>
      <c r="M12" s="32">
        <f t="shared" si="8"/>
        <v>10.600000000000012</v>
      </c>
      <c r="N12" s="32">
        <f t="array" ref="N12">TREND($D$2:$D$26,$A$2:$A$26,A12)</f>
        <v>29574895.82942608</v>
      </c>
      <c r="O12" s="32">
        <f t="shared" si="4"/>
        <v>-6.4609861396039481</v>
      </c>
      <c r="P12" s="32">
        <f t="shared" si="9"/>
        <v>3.1753279807556982</v>
      </c>
      <c r="Q12" s="32">
        <f t="shared" si="10"/>
        <v>6.9248530468011538</v>
      </c>
      <c r="R12" s="32">
        <f t="shared" si="11"/>
        <v>-0.32699999999999996</v>
      </c>
      <c r="S12" s="32">
        <f t="shared" si="5"/>
        <v>10.558480000000001</v>
      </c>
      <c r="T12" s="32">
        <f t="shared" si="6"/>
        <v>-0.7354800000000008</v>
      </c>
    </row>
    <row r="13" spans="1:20" ht="12" customHeight="1" x14ac:dyDescent="0.3">
      <c r="A13" s="48">
        <v>40544</v>
      </c>
      <c r="B13" s="8">
        <v>9.9760000000000009</v>
      </c>
      <c r="C13" s="8">
        <v>49570750</v>
      </c>
      <c r="D13" s="46">
        <f t="shared" si="7"/>
        <v>30292152.170447588</v>
      </c>
      <c r="E13" s="8">
        <v>91.848195000000004</v>
      </c>
      <c r="F13" s="8">
        <v>1345035000</v>
      </c>
      <c r="G13" s="8">
        <v>9.5</v>
      </c>
      <c r="H13" s="3"/>
      <c r="I13" s="32">
        <f t="shared" si="0"/>
        <v>163.64221901790202</v>
      </c>
      <c r="J13" s="32">
        <f t="shared" si="1"/>
        <v>163.64221901790202</v>
      </c>
      <c r="K13" s="32">
        <f t="shared" si="2"/>
        <v>22521.460163079468</v>
      </c>
      <c r="L13" s="32">
        <f t="shared" si="3"/>
        <v>280.69294282628994</v>
      </c>
      <c r="M13" s="32">
        <f t="shared" si="8"/>
        <v>9.5000000000000018</v>
      </c>
      <c r="N13" s="32">
        <f t="array" ref="N13">TREND($D$2:$D$26,$A$2:$A$26,A13)</f>
        <v>32013432.880567133</v>
      </c>
      <c r="O13" s="32">
        <f t="shared" si="4"/>
        <v>-5.3767451823774923</v>
      </c>
      <c r="P13" s="32">
        <f t="shared" si="9"/>
        <v>5.5538970590433125</v>
      </c>
      <c r="Q13" s="32">
        <f t="shared" si="10"/>
        <v>7.9779010068636538</v>
      </c>
      <c r="R13" s="32">
        <f t="shared" si="11"/>
        <v>0.15300000000000047</v>
      </c>
      <c r="S13" s="32">
        <f t="shared" si="5"/>
        <v>10.558480000000001</v>
      </c>
      <c r="T13" s="32">
        <f t="shared" si="6"/>
        <v>-0.58248000000000033</v>
      </c>
    </row>
    <row r="14" spans="1:20" ht="12" customHeight="1" x14ac:dyDescent="0.3">
      <c r="A14" s="48">
        <v>40909</v>
      </c>
      <c r="B14" s="8">
        <v>10.154</v>
      </c>
      <c r="C14" s="8">
        <v>54751070</v>
      </c>
      <c r="D14" s="46">
        <f t="shared" si="7"/>
        <v>32685232.191912945</v>
      </c>
      <c r="E14" s="8">
        <v>94.254182499999999</v>
      </c>
      <c r="F14" s="8">
        <v>1354190000</v>
      </c>
      <c r="G14" s="8">
        <v>7.9</v>
      </c>
      <c r="H14" s="3"/>
      <c r="I14" s="32">
        <f t="shared" si="0"/>
        <v>167.51011489998419</v>
      </c>
      <c r="J14" s="32">
        <f t="shared" si="1"/>
        <v>167.51011489998419</v>
      </c>
      <c r="K14" s="32">
        <f t="shared" si="2"/>
        <v>24136.370961174536</v>
      </c>
      <c r="L14" s="32">
        <f t="shared" si="3"/>
        <v>300.8201486573916</v>
      </c>
      <c r="M14" s="32">
        <f t="shared" si="8"/>
        <v>7.8999999999999932</v>
      </c>
      <c r="N14" s="32">
        <f t="array" ref="N14">TREND($D$2:$D$26,$A$2:$A$26,A14)</f>
        <v>34451969.931708157</v>
      </c>
      <c r="O14" s="32">
        <f t="shared" si="4"/>
        <v>-5.1281181984580222</v>
      </c>
      <c r="P14" s="32">
        <f t="shared" si="9"/>
        <v>2.6195261648854338</v>
      </c>
      <c r="Q14" s="32">
        <f t="shared" si="10"/>
        <v>2.3636295726709919</v>
      </c>
      <c r="R14" s="32">
        <f t="shared" si="11"/>
        <v>0.17799999999999905</v>
      </c>
      <c r="S14" s="32">
        <f t="shared" si="5"/>
        <v>10.558480000000001</v>
      </c>
      <c r="T14" s="32">
        <f t="shared" si="6"/>
        <v>-0.40448000000000128</v>
      </c>
    </row>
    <row r="15" spans="1:20" ht="12" customHeight="1" x14ac:dyDescent="0.3">
      <c r="A15" s="48">
        <v>41275</v>
      </c>
      <c r="B15" s="8">
        <v>10.316000000000001</v>
      </c>
      <c r="C15" s="8">
        <v>60366040</v>
      </c>
      <c r="D15" s="46">
        <f t="shared" si="7"/>
        <v>35234680.302882157</v>
      </c>
      <c r="E15" s="8">
        <v>96.724630833333293</v>
      </c>
      <c r="F15" s="8">
        <v>1363240000</v>
      </c>
      <c r="G15" s="8">
        <v>7.8</v>
      </c>
      <c r="H15" s="3"/>
      <c r="I15" s="32">
        <f t="shared" si="0"/>
        <v>171.32563565522722</v>
      </c>
      <c r="J15" s="32">
        <f t="shared" si="1"/>
        <v>171.32563565522722</v>
      </c>
      <c r="K15" s="32">
        <f t="shared" si="2"/>
        <v>25846.278206979077</v>
      </c>
      <c r="L15" s="32">
        <f t="shared" si="3"/>
        <v>322.13132889657044</v>
      </c>
      <c r="M15" s="32">
        <f t="shared" si="8"/>
        <v>7.8000000000000069</v>
      </c>
      <c r="N15" s="32">
        <f t="array" ref="N15">TREND($D$2:$D$26,$A$2:$A$26,A15)</f>
        <v>36897187.906276941</v>
      </c>
      <c r="O15" s="32">
        <f t="shared" si="4"/>
        <v>-4.5057840386582919</v>
      </c>
      <c r="P15" s="32">
        <f t="shared" si="9"/>
        <v>2.6210490270108648</v>
      </c>
      <c r="Q15" s="32">
        <f t="shared" si="10"/>
        <v>2.2777852892771127</v>
      </c>
      <c r="R15" s="32">
        <f t="shared" si="11"/>
        <v>0.16200000000000081</v>
      </c>
      <c r="S15" s="32">
        <f t="shared" si="5"/>
        <v>10.558480000000001</v>
      </c>
      <c r="T15" s="32">
        <f t="shared" si="6"/>
        <v>-0.24248000000000047</v>
      </c>
    </row>
    <row r="16" spans="1:20" ht="12" customHeight="1" x14ac:dyDescent="0.3">
      <c r="A16" s="48">
        <v>41640</v>
      </c>
      <c r="B16" s="8">
        <v>10.507</v>
      </c>
      <c r="C16" s="8">
        <v>65578290</v>
      </c>
      <c r="D16" s="46">
        <f t="shared" si="7"/>
        <v>37877281.325598314</v>
      </c>
      <c r="E16" s="8">
        <v>98.5833333333333</v>
      </c>
      <c r="F16" s="8">
        <v>1371860000</v>
      </c>
      <c r="G16" s="8">
        <v>7.5</v>
      </c>
      <c r="H16" s="3"/>
      <c r="I16" s="32">
        <f t="shared" si="0"/>
        <v>173.13357164227287</v>
      </c>
      <c r="J16" s="32">
        <f t="shared" si="1"/>
        <v>173.13357164227287</v>
      </c>
      <c r="K16" s="32">
        <f t="shared" si="2"/>
        <v>27610.165268757974</v>
      </c>
      <c r="L16" s="32">
        <f t="shared" si="3"/>
        <v>344.11527872037431</v>
      </c>
      <c r="M16" s="32">
        <f t="shared" si="8"/>
        <v>7.4999999999999876</v>
      </c>
      <c r="N16" s="32">
        <f t="array" ref="N16">TREND($D$2:$D$26,$A$2:$A$26,A16)</f>
        <v>39335724.957418025</v>
      </c>
      <c r="O16" s="32">
        <f t="shared" si="4"/>
        <v>-3.7076820966145005</v>
      </c>
      <c r="P16" s="32">
        <f t="shared" si="9"/>
        <v>1.9216434159389519</v>
      </c>
      <c r="Q16" s="32">
        <f t="shared" si="10"/>
        <v>1.0552629675829204</v>
      </c>
      <c r="R16" s="32">
        <f t="shared" si="11"/>
        <v>0.19099999999999895</v>
      </c>
      <c r="S16" s="32">
        <f t="shared" si="5"/>
        <v>10.558480000000001</v>
      </c>
      <c r="T16" s="32">
        <f t="shared" si="6"/>
        <v>-5.1480000000001525E-2</v>
      </c>
    </row>
    <row r="17" spans="1:20" ht="12" customHeight="1" x14ac:dyDescent="0.3">
      <c r="A17" s="48">
        <v>42005</v>
      </c>
      <c r="B17" s="8">
        <v>10.68</v>
      </c>
      <c r="C17" s="8">
        <v>70251150</v>
      </c>
      <c r="D17" s="46">
        <f t="shared" si="7"/>
        <v>40528691.018390201</v>
      </c>
      <c r="E17" s="8">
        <v>100</v>
      </c>
      <c r="F17" s="8">
        <v>1379860000</v>
      </c>
      <c r="G17" s="8">
        <v>7</v>
      </c>
      <c r="H17" s="3"/>
      <c r="I17" s="32">
        <f t="shared" si="0"/>
        <v>173.33683431355581</v>
      </c>
      <c r="J17" s="32">
        <f t="shared" si="1"/>
        <v>173.33683431355581</v>
      </c>
      <c r="K17" s="32">
        <f t="shared" si="2"/>
        <v>29371.596407164641</v>
      </c>
      <c r="L17" s="32">
        <f t="shared" si="3"/>
        <v>366.06861950046101</v>
      </c>
      <c r="M17" s="32">
        <f t="shared" si="8"/>
        <v>7.0000000000000115</v>
      </c>
      <c r="N17" s="32">
        <f t="array" ref="N17">TREND($D$2:$D$26,$A$2:$A$26,A17)</f>
        <v>41774262.008559048</v>
      </c>
      <c r="O17" s="32">
        <f t="shared" si="4"/>
        <v>-2.981670842955034</v>
      </c>
      <c r="P17" s="32">
        <f t="shared" si="9"/>
        <v>1.437024513947625</v>
      </c>
      <c r="Q17" s="32">
        <f t="shared" si="10"/>
        <v>0.11740222843835409</v>
      </c>
      <c r="R17" s="32">
        <f t="shared" si="11"/>
        <v>0.17300000000000004</v>
      </c>
      <c r="S17" s="32">
        <f t="shared" si="5"/>
        <v>10.558480000000001</v>
      </c>
      <c r="T17" s="32">
        <f t="shared" si="6"/>
        <v>0.12151999999999852</v>
      </c>
    </row>
    <row r="18" spans="1:20" ht="12" customHeight="1" x14ac:dyDescent="0.3">
      <c r="A18" s="48">
        <v>42370</v>
      </c>
      <c r="B18" s="8">
        <v>10.574</v>
      </c>
      <c r="C18" s="8">
        <v>76119290</v>
      </c>
      <c r="D18" s="46">
        <f t="shared" si="7"/>
        <v>43284642.007640734</v>
      </c>
      <c r="E18" s="8">
        <v>102</v>
      </c>
      <c r="F18" s="8">
        <v>1387790000</v>
      </c>
      <c r="G18" s="8">
        <v>6.8</v>
      </c>
      <c r="H18" s="3"/>
      <c r="I18" s="32">
        <f t="shared" si="0"/>
        <v>175.85750157426091</v>
      </c>
      <c r="J18" s="32">
        <f t="shared" si="1"/>
        <v>175.85750157426091</v>
      </c>
      <c r="K18" s="32">
        <f t="shared" si="2"/>
        <v>31189.619472427912</v>
      </c>
      <c r="L18" s="32">
        <f t="shared" si="3"/>
        <v>388.72728552920228</v>
      </c>
      <c r="M18" s="32">
        <f t="shared" si="8"/>
        <v>6.7999999999999989</v>
      </c>
      <c r="N18" s="32">
        <f t="array" ref="N18">TREND($D$2:$D$26,$A$2:$A$26,A18)</f>
        <v>44212799.059700072</v>
      </c>
      <c r="O18" s="32">
        <f t="shared" si="4"/>
        <v>-2.0992949367581475</v>
      </c>
      <c r="P18" s="32">
        <f t="shared" si="9"/>
        <v>2</v>
      </c>
      <c r="Q18" s="32">
        <f t="shared" si="10"/>
        <v>1.4542017400325669</v>
      </c>
      <c r="R18" s="32">
        <f t="shared" si="11"/>
        <v>-0.10599999999999987</v>
      </c>
      <c r="S18" s="32">
        <f t="shared" si="5"/>
        <v>10.558480000000001</v>
      </c>
      <c r="T18" s="32">
        <f t="shared" si="6"/>
        <v>1.5519999999998646E-2</v>
      </c>
    </row>
    <row r="19" spans="1:20" ht="12" customHeight="1" x14ac:dyDescent="0.3">
      <c r="A19" s="48">
        <v>42736</v>
      </c>
      <c r="B19" s="8">
        <v>10.430999999999999</v>
      </c>
      <c r="C19" s="8">
        <v>84738290</v>
      </c>
      <c r="D19" s="46">
        <f t="shared" si="7"/>
        <v>46271282.306167945</v>
      </c>
      <c r="E19" s="8">
        <v>103.625</v>
      </c>
      <c r="F19" s="8">
        <v>1396215000</v>
      </c>
      <c r="G19" s="8">
        <v>6.9</v>
      </c>
      <c r="H19" s="3"/>
      <c r="I19" s="32">
        <f t="shared" si="0"/>
        <v>183.13365391368117</v>
      </c>
      <c r="J19" s="32">
        <f t="shared" si="1"/>
        <v>183.13365391368117</v>
      </c>
      <c r="K19" s="32">
        <f t="shared" si="2"/>
        <v>33140.513678887524</v>
      </c>
      <c r="L19" s="32">
        <f t="shared" si="3"/>
        <v>413.04197169913454</v>
      </c>
      <c r="M19" s="32">
        <f t="shared" si="8"/>
        <v>6.9</v>
      </c>
      <c r="N19" s="32">
        <f t="array" ref="N19">TREND($D$2:$D$26,$A$2:$A$26,A19)</f>
        <v>46658017.034268916</v>
      </c>
      <c r="O19" s="32">
        <f t="shared" si="4"/>
        <v>-0.82887090511567452</v>
      </c>
      <c r="P19" s="32">
        <f t="shared" si="9"/>
        <v>1.5931372549019607</v>
      </c>
      <c r="Q19" s="32">
        <f t="shared" si="10"/>
        <v>4.1375274152565495</v>
      </c>
      <c r="R19" s="32">
        <f t="shared" si="11"/>
        <v>-0.14300000000000068</v>
      </c>
      <c r="S19" s="32">
        <f t="shared" si="5"/>
        <v>10.558480000000001</v>
      </c>
      <c r="T19" s="32">
        <f t="shared" si="6"/>
        <v>-0.12748000000000204</v>
      </c>
    </row>
    <row r="20" spans="1:20" ht="12" customHeight="1" x14ac:dyDescent="0.3">
      <c r="A20" s="48">
        <v>43101</v>
      </c>
      <c r="B20" s="8">
        <v>9.6739999999999995</v>
      </c>
      <c r="C20" s="8">
        <v>93601010</v>
      </c>
      <c r="D20" s="46">
        <f t="shared" si="7"/>
        <v>49417729.50298737</v>
      </c>
      <c r="E20" s="8">
        <v>105.77500000000001</v>
      </c>
      <c r="F20" s="8">
        <v>1402760000</v>
      </c>
      <c r="G20" s="8">
        <v>6.8</v>
      </c>
      <c r="H20" s="3"/>
      <c r="I20" s="32">
        <f t="shared" si="0"/>
        <v>189.40775090515174</v>
      </c>
      <c r="J20" s="32">
        <f t="shared" si="1"/>
        <v>189.40775090515174</v>
      </c>
      <c r="K20" s="32">
        <f t="shared" si="2"/>
        <v>35228.926903381456</v>
      </c>
      <c r="L20" s="32">
        <f t="shared" si="3"/>
        <v>439.07060614715914</v>
      </c>
      <c r="M20" s="32">
        <f t="shared" si="8"/>
        <v>6.8000000000000087</v>
      </c>
      <c r="N20" s="32">
        <f t="array" ref="N20">TREND($D$2:$D$26,$A$2:$A$26,A20)</f>
        <v>49096554.085409939</v>
      </c>
      <c r="O20" s="32">
        <f t="shared" si="4"/>
        <v>0.65417099745677376</v>
      </c>
      <c r="P20" s="32">
        <f t="shared" si="9"/>
        <v>2.0747889022919233</v>
      </c>
      <c r="Q20" s="32">
        <f t="shared" si="10"/>
        <v>3.4259661495247755</v>
      </c>
      <c r="R20" s="32">
        <f t="shared" si="11"/>
        <v>-0.75699999999999967</v>
      </c>
      <c r="S20" s="32">
        <f t="shared" si="5"/>
        <v>10.558480000000001</v>
      </c>
      <c r="T20" s="32">
        <f t="shared" si="6"/>
        <v>-0.88448000000000171</v>
      </c>
    </row>
    <row r="21" spans="1:20" ht="12" customHeight="1" x14ac:dyDescent="0.3">
      <c r="A21" s="48">
        <v>43466</v>
      </c>
      <c r="B21" s="8">
        <v>10.680999999999999</v>
      </c>
      <c r="C21" s="8">
        <v>100587240</v>
      </c>
      <c r="D21" s="46">
        <f t="shared" si="7"/>
        <v>52432211.002669595</v>
      </c>
      <c r="E21" s="8">
        <v>108.841666666666</v>
      </c>
      <c r="F21" s="8">
        <v>1407745000</v>
      </c>
      <c r="G21" s="8">
        <v>6.1</v>
      </c>
      <c r="H21" s="3"/>
      <c r="I21" s="32">
        <f t="shared" si="0"/>
        <v>191.84245347745986</v>
      </c>
      <c r="J21" s="32">
        <f t="shared" si="1"/>
        <v>191.84245347745986</v>
      </c>
      <c r="K21" s="32">
        <f t="shared" si="2"/>
        <v>37245.531685546455</v>
      </c>
      <c r="L21" s="32">
        <f t="shared" si="3"/>
        <v>464.20426651929654</v>
      </c>
      <c r="M21" s="32">
        <f t="shared" si="8"/>
        <v>6.0999999999999917</v>
      </c>
      <c r="N21" s="32">
        <f t="array" ref="N21">TREND($D$2:$D$26,$A$2:$A$26,A21)</f>
        <v>51535091.136550963</v>
      </c>
      <c r="O21" s="32">
        <f t="shared" si="4"/>
        <v>1.7407941779739189</v>
      </c>
      <c r="P21" s="32">
        <f t="shared" si="9"/>
        <v>2.8992357992587992</v>
      </c>
      <c r="Q21" s="32">
        <f t="shared" si="10"/>
        <v>1.2854292185367424</v>
      </c>
      <c r="R21" s="32">
        <f t="shared" si="11"/>
        <v>1.0069999999999997</v>
      </c>
      <c r="S21" s="32">
        <f t="shared" si="5"/>
        <v>10.558480000000001</v>
      </c>
      <c r="T21" s="32">
        <f t="shared" si="6"/>
        <v>0.12251999999999796</v>
      </c>
    </row>
    <row r="22" spans="1:20" ht="12" customHeight="1" x14ac:dyDescent="0.3">
      <c r="A22" s="48">
        <v>43831</v>
      </c>
      <c r="B22" s="8">
        <v>12.65</v>
      </c>
      <c r="C22" s="8">
        <v>103486750</v>
      </c>
      <c r="D22" s="46">
        <f t="shared" si="7"/>
        <v>53638151.855730988</v>
      </c>
      <c r="E22" s="8">
        <v>111.474999999999</v>
      </c>
      <c r="F22" s="8">
        <v>1411100000</v>
      </c>
      <c r="G22" s="8">
        <v>2.2999999999999998</v>
      </c>
      <c r="H22" s="3"/>
      <c r="I22" s="32">
        <f t="shared" si="0"/>
        <v>192.93496591445836</v>
      </c>
      <c r="J22" s="32">
        <f t="shared" si="1"/>
        <v>192.93496591445836</v>
      </c>
      <c r="K22" s="32">
        <f t="shared" si="2"/>
        <v>38011.588020502437</v>
      </c>
      <c r="L22" s="32">
        <f t="shared" si="3"/>
        <v>473.75189822134843</v>
      </c>
      <c r="M22" s="32">
        <f t="shared" si="8"/>
        <v>2.2999999999999852</v>
      </c>
      <c r="N22" s="32">
        <f t="array" ref="N22">TREND($D$2:$D$26,$A$2:$A$26,A22)</f>
        <v>53973628.187691987</v>
      </c>
      <c r="O22" s="32">
        <f t="shared" si="4"/>
        <v>-0.62155601397480198</v>
      </c>
      <c r="P22" s="32">
        <f t="shared" si="9"/>
        <v>2.4194165837222403</v>
      </c>
      <c r="Q22" s="32">
        <f t="shared" si="10"/>
        <v>0.56948418725621996</v>
      </c>
      <c r="R22" s="32">
        <f t="shared" si="11"/>
        <v>1.9690000000000012</v>
      </c>
      <c r="S22" s="32">
        <f t="shared" si="5"/>
        <v>10.558480000000001</v>
      </c>
      <c r="T22" s="32">
        <f t="shared" si="6"/>
        <v>2.0915199999999992</v>
      </c>
    </row>
    <row r="23" spans="1:20" ht="12" customHeight="1" x14ac:dyDescent="0.3">
      <c r="A23" s="48">
        <v>44197</v>
      </c>
      <c r="B23" s="8">
        <v>12.404</v>
      </c>
      <c r="C23" s="8">
        <v>117382300</v>
      </c>
      <c r="D23" s="46">
        <f t="shared" si="7"/>
        <v>58251032.915323853</v>
      </c>
      <c r="E23" s="8">
        <v>112.5686</v>
      </c>
      <c r="F23" s="8">
        <v>1412360000</v>
      </c>
      <c r="G23" s="8">
        <v>8.6</v>
      </c>
      <c r="H23" s="3"/>
      <c r="I23" s="32">
        <f t="shared" si="0"/>
        <v>201.51110482561199</v>
      </c>
      <c r="J23" s="32">
        <f t="shared" si="1"/>
        <v>201.51110482561199</v>
      </c>
      <c r="K23" s="32">
        <f t="shared" si="2"/>
        <v>41243.757197402825</v>
      </c>
      <c r="L23" s="32">
        <f t="shared" si="3"/>
        <v>514.03556861426068</v>
      </c>
      <c r="M23" s="32">
        <f t="shared" si="8"/>
        <v>8.6000000000000014</v>
      </c>
      <c r="N23" s="32">
        <f t="array" ref="N23">TREND($D$2:$D$26,$A$2:$A$26,A23)</f>
        <v>56418846.16226083</v>
      </c>
      <c r="O23" s="32">
        <f t="shared" si="4"/>
        <v>3.2474729238411695</v>
      </c>
      <c r="P23" s="32">
        <f t="shared" si="9"/>
        <v>0.9810271361300863</v>
      </c>
      <c r="Q23" s="32">
        <f t="shared" si="10"/>
        <v>4.4450931278864401</v>
      </c>
      <c r="R23" s="32">
        <f t="shared" si="11"/>
        <v>-0.24600000000000044</v>
      </c>
      <c r="S23" s="32">
        <f t="shared" si="5"/>
        <v>10.558480000000001</v>
      </c>
      <c r="T23" s="32">
        <f t="shared" si="6"/>
        <v>1.8455199999999987</v>
      </c>
    </row>
    <row r="24" spans="1:20" ht="12" customHeight="1" x14ac:dyDescent="0.3">
      <c r="A24" s="48">
        <v>44562</v>
      </c>
      <c r="B24" s="8">
        <v>14.673</v>
      </c>
      <c r="C24" s="8">
        <v>123402930</v>
      </c>
      <c r="D24" s="46">
        <f t="shared" si="7"/>
        <v>60056814.935698889</v>
      </c>
      <c r="E24" s="8">
        <v>114.790216666666</v>
      </c>
      <c r="F24" s="8">
        <v>1412175000</v>
      </c>
      <c r="G24" s="8">
        <v>3.1</v>
      </c>
      <c r="H24" s="3"/>
      <c r="I24" s="32">
        <f t="shared" si="0"/>
        <v>205.47698064261982</v>
      </c>
      <c r="J24" s="32">
        <f t="shared" si="1"/>
        <v>205.47698064261982</v>
      </c>
      <c r="K24" s="32">
        <f t="shared" si="2"/>
        <v>42527.884246427595</v>
      </c>
      <c r="L24" s="32">
        <f t="shared" si="3"/>
        <v>530.04009930381596</v>
      </c>
      <c r="M24" s="32">
        <f t="shared" si="8"/>
        <v>3.0999999999999934</v>
      </c>
      <c r="N24" s="32">
        <f t="array" ref="N24">TREND($D$2:$D$26,$A$2:$A$26,A24)</f>
        <v>58857383.213401854</v>
      </c>
      <c r="O24" s="32">
        <f t="shared" si="4"/>
        <v>2.0378611090272258</v>
      </c>
      <c r="P24" s="32">
        <f t="shared" si="9"/>
        <v>1.9735669331110046</v>
      </c>
      <c r="Q24" s="32">
        <f t="shared" si="10"/>
        <v>1.9680681223200589</v>
      </c>
      <c r="R24" s="32">
        <f t="shared" si="11"/>
        <v>2.2690000000000001</v>
      </c>
      <c r="S24" s="32">
        <f t="shared" si="5"/>
        <v>10.558480000000001</v>
      </c>
      <c r="T24" s="32">
        <f t="shared" si="6"/>
        <v>4.1145199999999988</v>
      </c>
    </row>
    <row r="25" spans="1:20" ht="12" customHeight="1" x14ac:dyDescent="0.3">
      <c r="A25" s="48">
        <v>44927</v>
      </c>
      <c r="B25" s="8">
        <v>15.561999999999999</v>
      </c>
      <c r="C25" s="8">
        <v>129427180</v>
      </c>
      <c r="D25" s="46">
        <f t="shared" si="7"/>
        <v>63299882.942226633</v>
      </c>
      <c r="E25" s="8">
        <v>115.059791666666</v>
      </c>
      <c r="F25" s="8">
        <v>1410710000</v>
      </c>
      <c r="G25" s="8">
        <v>5.4</v>
      </c>
      <c r="H25" s="3"/>
      <c r="I25" s="32">
        <f t="shared" si="0"/>
        <v>204.46669722616596</v>
      </c>
      <c r="J25" s="32">
        <f t="shared" si="1"/>
        <v>204.46669722616596</v>
      </c>
      <c r="K25" s="32">
        <f t="shared" si="2"/>
        <v>44870.939415065201</v>
      </c>
      <c r="L25" s="32">
        <f t="shared" si="3"/>
        <v>559.24242658308378</v>
      </c>
      <c r="M25" s="32">
        <f t="shared" si="8"/>
        <v>5.4000000000000066</v>
      </c>
      <c r="N25" s="32">
        <f t="array" ref="N25">TREND($D$2:$D$26,$A$2:$A$26,A25)</f>
        <v>61295920.264542878</v>
      </c>
      <c r="O25" s="32">
        <f t="shared" si="4"/>
        <v>3.2693247267273096</v>
      </c>
      <c r="P25" s="32">
        <f t="shared" si="9"/>
        <v>0.23484144191731043</v>
      </c>
      <c r="Q25" s="32">
        <f t="shared" si="10"/>
        <v>-0.49167717634074837</v>
      </c>
      <c r="R25" s="32">
        <f t="shared" si="11"/>
        <v>0.88899999999999935</v>
      </c>
      <c r="S25" s="32">
        <f t="shared" si="5"/>
        <v>10.558480000000001</v>
      </c>
      <c r="T25" s="32">
        <f t="shared" si="6"/>
        <v>5.0035199999999982</v>
      </c>
    </row>
    <row r="26" spans="1:20" ht="12" customHeight="1" x14ac:dyDescent="0.3">
      <c r="A26" s="48">
        <v>45292</v>
      </c>
      <c r="B26" s="8">
        <v>15.044</v>
      </c>
      <c r="C26" s="8">
        <v>134806620</v>
      </c>
      <c r="D26" s="46">
        <f t="shared" si="7"/>
        <v>66464877.089337967</v>
      </c>
      <c r="E26" s="8">
        <v>115.310766666666</v>
      </c>
      <c r="F26" s="8">
        <v>1408975000</v>
      </c>
      <c r="G26" s="8">
        <v>5</v>
      </c>
      <c r="H26" s="3"/>
      <c r="I26" s="32">
        <f t="shared" si="0"/>
        <v>202.82384607256745</v>
      </c>
      <c r="J26" s="32">
        <f t="shared" si="1"/>
        <v>202.82384607256745</v>
      </c>
      <c r="K26" s="32">
        <f t="shared" si="2"/>
        <v>47172.502769274099</v>
      </c>
      <c r="L26" s="32">
        <f t="shared" si="3"/>
        <v>587.92762666851672</v>
      </c>
      <c r="M26" s="32">
        <f t="shared" si="8"/>
        <v>5.0000000000000036</v>
      </c>
      <c r="N26" s="32">
        <f t="array" ref="N26">TREND($D$2:$D$26,$A$2:$A$26,A26)</f>
        <v>63734457.315683961</v>
      </c>
      <c r="O26" s="32">
        <f t="shared" si="4"/>
        <v>4.2840558916661502</v>
      </c>
      <c r="P26" s="32">
        <f t="shared" si="9"/>
        <v>0.2181257208661424</v>
      </c>
      <c r="Q26" s="32">
        <f t="shared" si="10"/>
        <v>-0.80348104404567799</v>
      </c>
      <c r="R26" s="32">
        <f t="shared" si="11"/>
        <v>-0.51799999999999891</v>
      </c>
      <c r="S26" s="32">
        <f t="shared" si="5"/>
        <v>10.558480000000001</v>
      </c>
      <c r="T26" s="32">
        <f t="shared" si="6"/>
        <v>4.4855199999999993</v>
      </c>
    </row>
    <row r="27" spans="1:20" ht="12" customHeight="1" x14ac:dyDescent="0.3">
      <c r="A27" s="49" t="s">
        <v>18</v>
      </c>
      <c r="B27" s="12" t="s">
        <v>99</v>
      </c>
      <c r="C27" s="12" t="s">
        <v>100</v>
      </c>
      <c r="D27" s="13" t="s">
        <v>101</v>
      </c>
      <c r="E27" s="12" t="s">
        <v>102</v>
      </c>
      <c r="F27" s="12" t="s">
        <v>103</v>
      </c>
      <c r="G27" s="12" t="s">
        <v>104</v>
      </c>
      <c r="H27" s="25"/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24</v>
      </c>
    </row>
    <row r="28" spans="1:20" ht="36.75" customHeight="1" x14ac:dyDescent="0.3">
      <c r="A28" s="50"/>
      <c r="B28" s="11"/>
      <c r="C28" s="11"/>
      <c r="D28" s="11"/>
      <c r="E28" s="11"/>
      <c r="F28" s="11"/>
      <c r="G28" s="11"/>
      <c r="H28" s="24"/>
      <c r="I28" s="7" t="s">
        <v>105</v>
      </c>
      <c r="J28" s="7" t="s">
        <v>26</v>
      </c>
      <c r="K28" s="7" t="s">
        <v>106</v>
      </c>
      <c r="L28" s="7" t="s">
        <v>28</v>
      </c>
      <c r="M28" s="7" t="s">
        <v>29</v>
      </c>
      <c r="N28" s="7" t="s">
        <v>107</v>
      </c>
      <c r="O28" s="7" t="s">
        <v>31</v>
      </c>
      <c r="P28" s="7" t="s">
        <v>32</v>
      </c>
      <c r="Q28" s="7" t="s">
        <v>33</v>
      </c>
      <c r="R28" s="7" t="s">
        <v>108</v>
      </c>
      <c r="S28" s="7" t="s">
        <v>109</v>
      </c>
      <c r="T28" s="7" t="s">
        <v>110</v>
      </c>
    </row>
    <row r="29" spans="1:20" ht="12" customHeight="1" x14ac:dyDescent="0.3">
      <c r="A29" s="50" t="s">
        <v>37</v>
      </c>
      <c r="B29" s="11" t="s">
        <v>38</v>
      </c>
      <c r="C29" s="11" t="s">
        <v>38</v>
      </c>
      <c r="D29" s="11" t="s">
        <v>38</v>
      </c>
      <c r="E29" s="11" t="s">
        <v>38</v>
      </c>
      <c r="F29" s="11" t="s">
        <v>38</v>
      </c>
      <c r="G29" s="11" t="s">
        <v>38</v>
      </c>
      <c r="H29" s="24" t="s">
        <v>39</v>
      </c>
      <c r="I29" s="7" t="s">
        <v>38</v>
      </c>
      <c r="J29" s="7" t="s">
        <v>38</v>
      </c>
      <c r="K29" s="7" t="s">
        <v>38</v>
      </c>
      <c r="L29" s="7" t="s">
        <v>38</v>
      </c>
      <c r="M29" s="7" t="s">
        <v>40</v>
      </c>
      <c r="N29" s="7" t="s">
        <v>38</v>
      </c>
      <c r="O29" s="7" t="s">
        <v>38</v>
      </c>
      <c r="P29" s="7" t="s">
        <v>40</v>
      </c>
      <c r="Q29" s="7" t="s">
        <v>40</v>
      </c>
      <c r="R29" s="7" t="s">
        <v>40</v>
      </c>
      <c r="S29" s="7" t="s">
        <v>38</v>
      </c>
      <c r="T29" s="7" t="s">
        <v>38</v>
      </c>
    </row>
    <row r="30" spans="1:20" ht="24" customHeight="1" x14ac:dyDescent="0.3">
      <c r="A30" s="50" t="s">
        <v>41</v>
      </c>
      <c r="B30" s="11" t="s">
        <v>111</v>
      </c>
      <c r="C30" s="11" t="s">
        <v>112</v>
      </c>
      <c r="D30" s="11" t="s">
        <v>113</v>
      </c>
      <c r="E30" s="11" t="s">
        <v>86</v>
      </c>
      <c r="F30" s="11" t="s">
        <v>87</v>
      </c>
      <c r="G30" s="11" t="s">
        <v>114</v>
      </c>
      <c r="H30" s="24" t="s">
        <v>47</v>
      </c>
      <c r="I30" s="7" t="s">
        <v>48</v>
      </c>
      <c r="J30" s="7" t="s">
        <v>115</v>
      </c>
      <c r="K30" s="7" t="s">
        <v>50</v>
      </c>
      <c r="L30" s="7" t="s">
        <v>116</v>
      </c>
      <c r="M30" s="7" t="s">
        <v>52</v>
      </c>
      <c r="N30" s="7" t="s">
        <v>53</v>
      </c>
      <c r="O30" s="7" t="s">
        <v>117</v>
      </c>
      <c r="P30" s="7" t="s">
        <v>55</v>
      </c>
      <c r="Q30" s="7" t="s">
        <v>115</v>
      </c>
      <c r="R30" s="7" t="s">
        <v>56</v>
      </c>
      <c r="S30" s="7" t="s">
        <v>56</v>
      </c>
      <c r="T30" s="7" t="s">
        <v>118</v>
      </c>
    </row>
    <row r="31" spans="1:20" ht="48.75" customHeight="1" x14ac:dyDescent="0.3">
      <c r="A31" s="50" t="s">
        <v>58</v>
      </c>
      <c r="B31" s="11" t="s">
        <v>90</v>
      </c>
      <c r="C31" s="11" t="s">
        <v>90</v>
      </c>
      <c r="D31" s="11" t="s">
        <v>119</v>
      </c>
      <c r="E31" s="11" t="s">
        <v>59</v>
      </c>
      <c r="F31" s="11" t="s">
        <v>90</v>
      </c>
      <c r="G31" s="11" t="s">
        <v>120</v>
      </c>
      <c r="H31" s="24" t="s">
        <v>61</v>
      </c>
      <c r="I31" s="7" t="s">
        <v>121</v>
      </c>
      <c r="J31" s="7" t="s">
        <v>122</v>
      </c>
      <c r="K31" s="7" t="s">
        <v>123</v>
      </c>
      <c r="L31" s="7" t="s">
        <v>65</v>
      </c>
      <c r="M31" s="7" t="s">
        <v>124</v>
      </c>
      <c r="N31" s="7" t="s">
        <v>67</v>
      </c>
      <c r="O31" s="7" t="s">
        <v>68</v>
      </c>
      <c r="P31" s="7" t="s">
        <v>69</v>
      </c>
      <c r="Q31" s="7" t="s">
        <v>125</v>
      </c>
      <c r="R31" s="7" t="s">
        <v>126</v>
      </c>
      <c r="S31" s="7" t="s">
        <v>127</v>
      </c>
      <c r="T31" s="7" t="s">
        <v>128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1"/>
  <sheetViews>
    <sheetView topLeftCell="J35" zoomScale="65" zoomScaleNormal="55" workbookViewId="0">
      <selection activeCell="G1" sqref="G1:G26"/>
    </sheetView>
  </sheetViews>
  <sheetFormatPr defaultColWidth="8.77734375" defaultRowHeight="14.25" customHeight="1" x14ac:dyDescent="0.3"/>
  <cols>
    <col min="1" max="1" width="23.77734375" style="1" customWidth="1"/>
    <col min="2" max="6" width="27.44140625" customWidth="1"/>
    <col min="7" max="7" width="7.44140625" customWidth="1"/>
    <col min="8" max="8" width="17.6640625" customWidth="1"/>
    <col min="9" max="9" width="34.33203125" customWidth="1"/>
    <col min="10" max="10" width="37.88671875" customWidth="1"/>
    <col min="11" max="11" width="42" customWidth="1"/>
    <col min="12" max="12" width="23.77734375" customWidth="1"/>
    <col min="13" max="13" width="31.33203125" customWidth="1"/>
    <col min="14" max="14" width="27" customWidth="1"/>
    <col min="15" max="15" width="23.77734375" customWidth="1"/>
    <col min="16" max="16" width="34.21875" customWidth="1"/>
    <col min="17" max="17" width="39.109375" customWidth="1"/>
    <col min="18" max="18" width="36.21875" customWidth="1"/>
    <col min="19" max="19" width="27.21875" customWidth="1"/>
    <col min="20" max="16384" width="8.77734375" style="1"/>
  </cols>
  <sheetData>
    <row r="1" spans="1:19" ht="12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8" t="s">
        <v>129</v>
      </c>
      <c r="F1" s="38" t="s">
        <v>75</v>
      </c>
      <c r="G1" s="31"/>
      <c r="H1" s="31" t="s">
        <v>6</v>
      </c>
      <c r="I1" s="31" t="s">
        <v>7</v>
      </c>
      <c r="J1" s="31" t="s">
        <v>76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</row>
    <row r="2" spans="1:19" ht="12" customHeight="1" x14ac:dyDescent="0.3">
      <c r="A2" s="33">
        <v>36526</v>
      </c>
      <c r="B2" s="8">
        <v>10.1</v>
      </c>
      <c r="C2" s="8">
        <v>1245557</v>
      </c>
      <c r="D2" s="8">
        <v>1573989</v>
      </c>
      <c r="E2" s="8">
        <v>75.057390833333301</v>
      </c>
      <c r="F2" s="8">
        <v>56942108</v>
      </c>
      <c r="G2" s="3"/>
      <c r="H2" s="32">
        <f t="shared" ref="H2:H26" si="0">C2/D2*100</f>
        <v>79.133780477500153</v>
      </c>
      <c r="I2" s="32">
        <f t="shared" ref="I2:I26" si="1">H2/$H$2*100</f>
        <v>100</v>
      </c>
      <c r="J2" s="32">
        <f t="shared" ref="J2:J26" si="2">(D2*1000000)/F2</f>
        <v>27641.916593604157</v>
      </c>
      <c r="K2" s="32">
        <f t="shared" ref="K2:K26" si="3">J2/$J$2*100</f>
        <v>100</v>
      </c>
      <c r="L2" s="32"/>
      <c r="M2" s="32">
        <f t="array" ref="M2">TREND($D$2:$D$26,$A$2:$A$26,A2)</f>
        <v>1609949.4674227303</v>
      </c>
      <c r="N2" s="32">
        <f t="shared" ref="N2:N26" si="4">(D2-M2)/M2*100</f>
        <v>-2.2336395116982897</v>
      </c>
      <c r="O2" s="32"/>
      <c r="P2" s="32"/>
      <c r="Q2" s="32"/>
      <c r="R2" s="32">
        <f t="shared" ref="R2:R26" si="5">AVERAGE($B$2:$B$26)</f>
        <v>9.1999999999999993</v>
      </c>
      <c r="S2" s="32">
        <f t="shared" ref="S2:S26" si="6">B2-R2</f>
        <v>0.90000000000000036</v>
      </c>
    </row>
    <row r="3" spans="1:19" ht="12" customHeight="1" x14ac:dyDescent="0.3">
      <c r="A3" s="33">
        <v>36892</v>
      </c>
      <c r="B3" s="8">
        <v>9.1</v>
      </c>
      <c r="C3" s="8">
        <v>1307586</v>
      </c>
      <c r="D3" s="8">
        <v>1603251.6</v>
      </c>
      <c r="E3" s="8">
        <v>77.147863333333305</v>
      </c>
      <c r="F3" s="8">
        <v>56976981</v>
      </c>
      <c r="G3" s="3"/>
      <c r="H3" s="32">
        <f t="shared" si="0"/>
        <v>81.558377986337263</v>
      </c>
      <c r="I3" s="32">
        <f t="shared" si="1"/>
        <v>103.06392225192185</v>
      </c>
      <c r="J3" s="32">
        <f t="shared" si="2"/>
        <v>28138.584597874709</v>
      </c>
      <c r="K3" s="32">
        <f t="shared" si="3"/>
        <v>101.79679293434188</v>
      </c>
      <c r="L3" s="32">
        <f t="shared" ref="L3:L26" si="7">(D3-D2)/D2*100</f>
        <v>1.8591362455519127</v>
      </c>
      <c r="M3" s="32">
        <f t="array" ref="M3">TREND($D$2:$D$26,$A$2:$A$26,A3)</f>
        <v>1610755.574254768</v>
      </c>
      <c r="N3" s="32">
        <f t="shared" si="4"/>
        <v>-0.46586672582149302</v>
      </c>
      <c r="O3" s="32">
        <f t="shared" ref="O3:O26" si="8">(E3-E2)/E2*100</f>
        <v>2.785165427135547</v>
      </c>
      <c r="P3" s="32">
        <f t="shared" ref="P3:P26" si="9">(H3-H2)/H2*100</f>
        <v>3.0639222519218419</v>
      </c>
      <c r="Q3" s="32">
        <f t="shared" ref="Q3:Q26" si="10">B3-B2</f>
        <v>-1</v>
      </c>
      <c r="R3" s="32">
        <f t="shared" si="5"/>
        <v>9.1999999999999993</v>
      </c>
      <c r="S3" s="32">
        <f t="shared" si="6"/>
        <v>-9.9999999999999645E-2</v>
      </c>
    </row>
    <row r="4" spans="1:19" ht="12" customHeight="1" x14ac:dyDescent="0.3">
      <c r="A4" s="33">
        <v>37257</v>
      </c>
      <c r="B4" s="8">
        <v>8.6</v>
      </c>
      <c r="C4" s="8">
        <v>1354153</v>
      </c>
      <c r="D4" s="8">
        <v>1607214.9</v>
      </c>
      <c r="E4" s="8">
        <v>79.0498075</v>
      </c>
      <c r="F4" s="8">
        <v>57089824</v>
      </c>
      <c r="G4" s="3"/>
      <c r="H4" s="32">
        <f t="shared" si="0"/>
        <v>84.254632034583551</v>
      </c>
      <c r="I4" s="32">
        <f t="shared" si="1"/>
        <v>106.47113220951121</v>
      </c>
      <c r="J4" s="32">
        <f t="shared" si="2"/>
        <v>28152.388418643575</v>
      </c>
      <c r="K4" s="32">
        <f t="shared" si="3"/>
        <v>101.84673093600729</v>
      </c>
      <c r="L4" s="32">
        <f t="shared" si="7"/>
        <v>0.24720386993531229</v>
      </c>
      <c r="M4" s="32">
        <f t="array" ref="M4">TREND($D$2:$D$26,$A$2:$A$26,A4)</f>
        <v>1611559.4786091223</v>
      </c>
      <c r="N4" s="32">
        <f t="shared" si="4"/>
        <v>-0.26958847419470205</v>
      </c>
      <c r="O4" s="32">
        <f t="shared" si="8"/>
        <v>2.4653231917116765</v>
      </c>
      <c r="P4" s="32">
        <f t="shared" si="9"/>
        <v>3.3059191646724115</v>
      </c>
      <c r="Q4" s="32">
        <f t="shared" si="10"/>
        <v>-0.5</v>
      </c>
      <c r="R4" s="32">
        <f t="shared" si="5"/>
        <v>9.1999999999999993</v>
      </c>
      <c r="S4" s="32">
        <f t="shared" si="6"/>
        <v>-0.59999999999999964</v>
      </c>
    </row>
    <row r="5" spans="1:19" ht="12" customHeight="1" x14ac:dyDescent="0.3">
      <c r="A5" s="33">
        <v>37622</v>
      </c>
      <c r="B5" s="8">
        <v>8.5</v>
      </c>
      <c r="C5" s="8">
        <v>1399084</v>
      </c>
      <c r="D5" s="8">
        <v>1609558.9</v>
      </c>
      <c r="E5" s="8">
        <v>81.162457500000002</v>
      </c>
      <c r="F5" s="8">
        <v>57399184</v>
      </c>
      <c r="G5" s="3"/>
      <c r="H5" s="32">
        <f t="shared" si="0"/>
        <v>86.923442192764739</v>
      </c>
      <c r="I5" s="32">
        <f t="shared" si="1"/>
        <v>109.84366179431981</v>
      </c>
      <c r="J5" s="32">
        <f t="shared" si="2"/>
        <v>28041.494457482182</v>
      </c>
      <c r="K5" s="32">
        <f t="shared" si="3"/>
        <v>101.44555050126473</v>
      </c>
      <c r="L5" s="32">
        <f t="shared" si="7"/>
        <v>0.14584235126242295</v>
      </c>
      <c r="M5" s="32">
        <f t="array" ref="M5">TREND($D$2:$D$26,$A$2:$A$26,A5)</f>
        <v>1612363.3829634769</v>
      </c>
      <c r="N5" s="32">
        <f t="shared" si="4"/>
        <v>-0.17393616061426989</v>
      </c>
      <c r="O5" s="32">
        <f t="shared" si="8"/>
        <v>2.6725555277285173</v>
      </c>
      <c r="P5" s="32">
        <f t="shared" si="9"/>
        <v>3.1675530397969518</v>
      </c>
      <c r="Q5" s="32">
        <f t="shared" si="10"/>
        <v>-9.9999999999999645E-2</v>
      </c>
      <c r="R5" s="32">
        <f t="shared" si="5"/>
        <v>9.1999999999999993</v>
      </c>
      <c r="S5" s="32">
        <f t="shared" si="6"/>
        <v>-0.69999999999999929</v>
      </c>
    </row>
    <row r="6" spans="1:19" ht="12" customHeight="1" x14ac:dyDescent="0.3">
      <c r="A6" s="33">
        <v>37987</v>
      </c>
      <c r="B6" s="8">
        <v>8</v>
      </c>
      <c r="C6" s="8">
        <v>1453947</v>
      </c>
      <c r="D6" s="8">
        <v>1629745.2</v>
      </c>
      <c r="E6" s="8">
        <v>82.953499166666603</v>
      </c>
      <c r="F6" s="8">
        <v>57828179</v>
      </c>
      <c r="G6" s="3"/>
      <c r="H6" s="32">
        <f t="shared" si="0"/>
        <v>89.213148165737806</v>
      </c>
      <c r="I6" s="32">
        <f t="shared" si="1"/>
        <v>112.73712392788246</v>
      </c>
      <c r="J6" s="32">
        <f t="shared" si="2"/>
        <v>28182.544015435797</v>
      </c>
      <c r="K6" s="32">
        <f t="shared" si="3"/>
        <v>101.95582466216084</v>
      </c>
      <c r="L6" s="32">
        <f t="shared" si="7"/>
        <v>1.254151059647463</v>
      </c>
      <c r="M6" s="32">
        <f t="array" ref="M6">TREND($D$2:$D$26,$A$2:$A$26,A6)</f>
        <v>1613167.2873178315</v>
      </c>
      <c r="N6" s="32">
        <f t="shared" si="4"/>
        <v>1.0276623393307247</v>
      </c>
      <c r="O6" s="32">
        <f t="shared" si="8"/>
        <v>2.206736614236454</v>
      </c>
      <c r="P6" s="32">
        <f t="shared" si="9"/>
        <v>2.6341639438246451</v>
      </c>
      <c r="Q6" s="32">
        <f t="shared" si="10"/>
        <v>-0.5</v>
      </c>
      <c r="R6" s="32">
        <f t="shared" si="5"/>
        <v>9.1999999999999993</v>
      </c>
      <c r="S6" s="32">
        <f t="shared" si="6"/>
        <v>-1.1999999999999993</v>
      </c>
    </row>
    <row r="7" spans="1:19" ht="12" customHeight="1" x14ac:dyDescent="0.3">
      <c r="A7" s="33">
        <v>38353</v>
      </c>
      <c r="B7" s="8">
        <v>7.8</v>
      </c>
      <c r="C7" s="8">
        <v>1501176</v>
      </c>
      <c r="D7" s="8">
        <v>1648378.7</v>
      </c>
      <c r="E7" s="8">
        <v>84.600369166666596</v>
      </c>
      <c r="F7" s="8">
        <v>58166682</v>
      </c>
      <c r="G7" s="3"/>
      <c r="H7" s="32">
        <f t="shared" si="0"/>
        <v>91.069849422344518</v>
      </c>
      <c r="I7" s="32">
        <f t="shared" si="1"/>
        <v>115.08340543421669</v>
      </c>
      <c r="J7" s="32">
        <f t="shared" si="2"/>
        <v>28338.881354793455</v>
      </c>
      <c r="K7" s="32">
        <f t="shared" si="3"/>
        <v>102.52140534043346</v>
      </c>
      <c r="L7" s="32">
        <f t="shared" si="7"/>
        <v>1.143338234713009</v>
      </c>
      <c r="M7" s="32">
        <f t="array" ref="M7">TREND($D$2:$D$26,$A$2:$A$26,A7)</f>
        <v>1613973.3941498692</v>
      </c>
      <c r="N7" s="32">
        <f t="shared" si="4"/>
        <v>2.1317145607752161</v>
      </c>
      <c r="O7" s="32">
        <f t="shared" si="8"/>
        <v>1.9852929852798282</v>
      </c>
      <c r="P7" s="32">
        <f t="shared" si="9"/>
        <v>2.0811968804837844</v>
      </c>
      <c r="Q7" s="32">
        <f t="shared" si="10"/>
        <v>-0.20000000000000018</v>
      </c>
      <c r="R7" s="32">
        <f t="shared" si="5"/>
        <v>9.1999999999999993</v>
      </c>
      <c r="S7" s="32">
        <f t="shared" si="6"/>
        <v>-1.3999999999999995</v>
      </c>
    </row>
    <row r="8" spans="1:19" ht="12" customHeight="1" x14ac:dyDescent="0.3">
      <c r="A8" s="33">
        <v>38718</v>
      </c>
      <c r="B8" s="8">
        <v>6.9</v>
      </c>
      <c r="C8" s="8">
        <v>1563447</v>
      </c>
      <c r="D8" s="8">
        <v>1679634.6</v>
      </c>
      <c r="E8" s="8">
        <v>86.369230833333305</v>
      </c>
      <c r="F8" s="8">
        <v>58399861</v>
      </c>
      <c r="G8" s="3"/>
      <c r="H8" s="32">
        <f t="shared" si="0"/>
        <v>93.082566886869316</v>
      </c>
      <c r="I8" s="32">
        <f t="shared" si="1"/>
        <v>117.6268419443643</v>
      </c>
      <c r="J8" s="32">
        <f t="shared" si="2"/>
        <v>28760.934893321064</v>
      </c>
      <c r="K8" s="32">
        <f t="shared" si="3"/>
        <v>104.0482659584315</v>
      </c>
      <c r="L8" s="32">
        <f t="shared" si="7"/>
        <v>1.8961601481504307</v>
      </c>
      <c r="M8" s="32">
        <f t="array" ref="M8">TREND($D$2:$D$26,$A$2:$A$26,A8)</f>
        <v>1614777.2985042236</v>
      </c>
      <c r="N8" s="32">
        <f t="shared" si="4"/>
        <v>4.0164858371401531</v>
      </c>
      <c r="O8" s="32">
        <f t="shared" si="8"/>
        <v>2.0908439101275911</v>
      </c>
      <c r="P8" s="32">
        <f t="shared" si="9"/>
        <v>2.2100810282343191</v>
      </c>
      <c r="Q8" s="32">
        <f t="shared" si="10"/>
        <v>-0.89999999999999947</v>
      </c>
      <c r="R8" s="32">
        <f t="shared" si="5"/>
        <v>9.1999999999999993</v>
      </c>
      <c r="S8" s="32">
        <f t="shared" si="6"/>
        <v>-2.2999999999999989</v>
      </c>
    </row>
    <row r="9" spans="1:19" ht="12" customHeight="1" x14ac:dyDescent="0.3">
      <c r="A9" s="33">
        <v>39083</v>
      </c>
      <c r="B9" s="8">
        <v>6.2</v>
      </c>
      <c r="C9" s="8">
        <v>1622562</v>
      </c>
      <c r="D9" s="8">
        <v>1701173.5</v>
      </c>
      <c r="E9" s="8">
        <v>87.949564166666605</v>
      </c>
      <c r="F9" s="8">
        <v>58756247</v>
      </c>
      <c r="G9" s="3"/>
      <c r="H9" s="32">
        <f t="shared" si="0"/>
        <v>95.378983977824717</v>
      </c>
      <c r="I9" s="32">
        <f t="shared" si="1"/>
        <v>120.52878480251997</v>
      </c>
      <c r="J9" s="32">
        <f t="shared" si="2"/>
        <v>28953.066045896361</v>
      </c>
      <c r="K9" s="32">
        <f t="shared" si="3"/>
        <v>104.74333770544544</v>
      </c>
      <c r="L9" s="32">
        <f t="shared" si="7"/>
        <v>1.2823562934461998</v>
      </c>
      <c r="M9" s="32">
        <f t="array" ref="M9">TREND($D$2:$D$26,$A$2:$A$26,A9)</f>
        <v>1615581.2028585782</v>
      </c>
      <c r="N9" s="32">
        <f t="shared" si="4"/>
        <v>5.2979260336760827</v>
      </c>
      <c r="O9" s="32">
        <f t="shared" si="8"/>
        <v>1.8297411220239639</v>
      </c>
      <c r="P9" s="32">
        <f t="shared" si="9"/>
        <v>2.4670753802335734</v>
      </c>
      <c r="Q9" s="32">
        <f t="shared" si="10"/>
        <v>-0.70000000000000018</v>
      </c>
      <c r="R9" s="32">
        <f t="shared" si="5"/>
        <v>9.1999999999999993</v>
      </c>
      <c r="S9" s="32">
        <f t="shared" si="6"/>
        <v>-2.9999999999999991</v>
      </c>
    </row>
    <row r="10" spans="1:19" ht="12" customHeight="1" x14ac:dyDescent="0.3">
      <c r="A10" s="33">
        <v>39448</v>
      </c>
      <c r="B10" s="8">
        <v>6.8</v>
      </c>
      <c r="C10" s="8">
        <v>1643974</v>
      </c>
      <c r="D10" s="8">
        <v>1683152</v>
      </c>
      <c r="E10" s="8">
        <v>90.893968333333305</v>
      </c>
      <c r="F10" s="8">
        <v>59211181</v>
      </c>
      <c r="G10" s="3"/>
      <c r="H10" s="32">
        <f t="shared" si="0"/>
        <v>97.67234331777523</v>
      </c>
      <c r="I10" s="32">
        <f t="shared" si="1"/>
        <v>123.42686363321931</v>
      </c>
      <c r="J10" s="32">
        <f t="shared" si="2"/>
        <v>28426.252805192318</v>
      </c>
      <c r="K10" s="32">
        <f t="shared" si="3"/>
        <v>102.83748852555918</v>
      </c>
      <c r="L10" s="32">
        <f t="shared" si="7"/>
        <v>-1.0593569674110255</v>
      </c>
      <c r="M10" s="32">
        <f t="array" ref="M10">TREND($D$2:$D$26,$A$2:$A$26,A10)</f>
        <v>1616385.1072129328</v>
      </c>
      <c r="N10" s="32">
        <f t="shared" si="4"/>
        <v>4.1306302866270936</v>
      </c>
      <c r="O10" s="32">
        <f t="shared" si="8"/>
        <v>3.3478325840102872</v>
      </c>
      <c r="P10" s="32">
        <f t="shared" si="9"/>
        <v>2.4044702976535279</v>
      </c>
      <c r="Q10" s="32">
        <f t="shared" si="10"/>
        <v>0.59999999999999964</v>
      </c>
      <c r="R10" s="32">
        <f t="shared" si="5"/>
        <v>9.1999999999999993</v>
      </c>
      <c r="S10" s="32">
        <f t="shared" si="6"/>
        <v>-2.3999999999999995</v>
      </c>
    </row>
    <row r="11" spans="1:19" ht="12" customHeight="1" x14ac:dyDescent="0.3">
      <c r="A11" s="33">
        <v>39814</v>
      </c>
      <c r="B11" s="8">
        <v>7.9</v>
      </c>
      <c r="C11" s="8">
        <v>1584007</v>
      </c>
      <c r="D11" s="8">
        <v>1593498</v>
      </c>
      <c r="E11" s="8">
        <v>91.598185833333304</v>
      </c>
      <c r="F11" s="8">
        <v>59555454</v>
      </c>
      <c r="G11" s="3"/>
      <c r="H11" s="32">
        <f t="shared" si="0"/>
        <v>99.40439209838982</v>
      </c>
      <c r="I11" s="32">
        <f t="shared" si="1"/>
        <v>125.61562394539352</v>
      </c>
      <c r="J11" s="32">
        <f t="shared" si="2"/>
        <v>26756.541894550915</v>
      </c>
      <c r="K11" s="32">
        <f t="shared" si="3"/>
        <v>96.796985129250771</v>
      </c>
      <c r="L11" s="32">
        <f t="shared" si="7"/>
        <v>-5.3265539891822016</v>
      </c>
      <c r="M11" s="32">
        <f t="array" ref="M11">TREND($D$2:$D$26,$A$2:$A$26,A11)</f>
        <v>1617191.2140449705</v>
      </c>
      <c r="N11" s="32">
        <f t="shared" si="4"/>
        <v>-1.4650842670427471</v>
      </c>
      <c r="O11" s="32">
        <f t="shared" si="8"/>
        <v>0.77476813138737477</v>
      </c>
      <c r="P11" s="32">
        <f t="shared" si="9"/>
        <v>1.773325715120196</v>
      </c>
      <c r="Q11" s="32">
        <f t="shared" si="10"/>
        <v>1.1000000000000005</v>
      </c>
      <c r="R11" s="32">
        <f t="shared" si="5"/>
        <v>9.1999999999999993</v>
      </c>
      <c r="S11" s="32">
        <f t="shared" si="6"/>
        <v>-1.2999999999999989</v>
      </c>
    </row>
    <row r="12" spans="1:19" ht="12" customHeight="1" x14ac:dyDescent="0.3">
      <c r="A12" s="33">
        <v>40179</v>
      </c>
      <c r="B12" s="8">
        <v>8.5</v>
      </c>
      <c r="C12" s="8">
        <v>1617083</v>
      </c>
      <c r="D12" s="8">
        <v>1617083.2</v>
      </c>
      <c r="E12" s="8">
        <v>92.995530833333305</v>
      </c>
      <c r="F12" s="8">
        <v>59819407</v>
      </c>
      <c r="G12" s="3"/>
      <c r="H12" s="32">
        <f t="shared" si="0"/>
        <v>99.99998763205258</v>
      </c>
      <c r="I12" s="32">
        <f t="shared" si="1"/>
        <v>126.36826779744872</v>
      </c>
      <c r="J12" s="32">
        <f t="shared" si="2"/>
        <v>27032.752096656524</v>
      </c>
      <c r="K12" s="32">
        <f t="shared" si="3"/>
        <v>97.796229162023508</v>
      </c>
      <c r="L12" s="32">
        <f t="shared" si="7"/>
        <v>1.480089714577612</v>
      </c>
      <c r="M12" s="32">
        <f t="array" ref="M12">TREND($D$2:$D$26,$A$2:$A$26,A12)</f>
        <v>1617995.1183993248</v>
      </c>
      <c r="N12" s="32">
        <f t="shared" si="4"/>
        <v>-5.6361010546622056E-2</v>
      </c>
      <c r="O12" s="32">
        <f t="shared" si="8"/>
        <v>1.5255160211824812</v>
      </c>
      <c r="P12" s="32">
        <f t="shared" si="9"/>
        <v>0.59916420299944395</v>
      </c>
      <c r="Q12" s="32">
        <f t="shared" si="10"/>
        <v>0.59999999999999964</v>
      </c>
      <c r="R12" s="32">
        <f t="shared" si="5"/>
        <v>9.1999999999999993</v>
      </c>
      <c r="S12" s="32">
        <f t="shared" si="6"/>
        <v>-0.69999999999999929</v>
      </c>
    </row>
    <row r="13" spans="1:19" ht="12" customHeight="1" x14ac:dyDescent="0.3">
      <c r="A13" s="33">
        <v>40544</v>
      </c>
      <c r="B13" s="8">
        <v>8.6</v>
      </c>
      <c r="C13" s="8">
        <v>1659112</v>
      </c>
      <c r="D13" s="8">
        <v>1630941</v>
      </c>
      <c r="E13" s="8">
        <v>95.581395000000001</v>
      </c>
      <c r="F13" s="8">
        <v>60026841</v>
      </c>
      <c r="G13" s="3"/>
      <c r="H13" s="32">
        <f t="shared" si="0"/>
        <v>101.72728504587229</v>
      </c>
      <c r="I13" s="32">
        <f t="shared" si="1"/>
        <v>128.55102388896492</v>
      </c>
      <c r="J13" s="32">
        <f t="shared" si="2"/>
        <v>27170.195413081958</v>
      </c>
      <c r="K13" s="32">
        <f t="shared" si="3"/>
        <v>98.293457044033815</v>
      </c>
      <c r="L13" s="32">
        <f t="shared" si="7"/>
        <v>0.85696270915436179</v>
      </c>
      <c r="M13" s="32">
        <f t="array" ref="M13">TREND($D$2:$D$26,$A$2:$A$26,A13)</f>
        <v>1618799.0227536794</v>
      </c>
      <c r="N13" s="32">
        <f t="shared" si="4"/>
        <v>0.75006082136535412</v>
      </c>
      <c r="O13" s="32">
        <f t="shared" si="8"/>
        <v>2.7806327287932624</v>
      </c>
      <c r="P13" s="32">
        <f t="shared" si="9"/>
        <v>1.727297627450975</v>
      </c>
      <c r="Q13" s="32">
        <f t="shared" si="10"/>
        <v>9.9999999999999645E-2</v>
      </c>
      <c r="R13" s="32">
        <f t="shared" si="5"/>
        <v>9.1999999999999993</v>
      </c>
      <c r="S13" s="32">
        <f t="shared" si="6"/>
        <v>-0.59999999999999964</v>
      </c>
    </row>
    <row r="14" spans="1:19" ht="12" customHeight="1" x14ac:dyDescent="0.3">
      <c r="A14" s="33">
        <v>40909</v>
      </c>
      <c r="B14" s="8">
        <v>10.9</v>
      </c>
      <c r="C14" s="8">
        <v>1633776</v>
      </c>
      <c r="D14" s="8">
        <v>1579157.7</v>
      </c>
      <c r="E14" s="8">
        <v>98.488372499999898</v>
      </c>
      <c r="F14" s="8">
        <v>60191247</v>
      </c>
      <c r="G14" s="3"/>
      <c r="H14" s="32">
        <f t="shared" si="0"/>
        <v>103.45869826680388</v>
      </c>
      <c r="I14" s="32">
        <f t="shared" si="1"/>
        <v>130.73898105527761</v>
      </c>
      <c r="J14" s="32">
        <f t="shared" si="2"/>
        <v>26235.670113297369</v>
      </c>
      <c r="K14" s="32">
        <f t="shared" si="3"/>
        <v>94.912630332470613</v>
      </c>
      <c r="L14" s="32">
        <f t="shared" si="7"/>
        <v>-3.1750566084242191</v>
      </c>
      <c r="M14" s="32">
        <f t="array" ref="M14">TREND($D$2:$D$26,$A$2:$A$26,A14)</f>
        <v>1619602.927108034</v>
      </c>
      <c r="N14" s="32">
        <f t="shared" si="4"/>
        <v>-2.4972310454052553</v>
      </c>
      <c r="O14" s="32">
        <f t="shared" si="8"/>
        <v>3.0413633322676414</v>
      </c>
      <c r="P14" s="32">
        <f t="shared" si="9"/>
        <v>1.7020145776532154</v>
      </c>
      <c r="Q14" s="32">
        <f t="shared" si="10"/>
        <v>2.3000000000000007</v>
      </c>
      <c r="R14" s="32">
        <f t="shared" si="5"/>
        <v>9.1999999999999993</v>
      </c>
      <c r="S14" s="32">
        <f t="shared" si="6"/>
        <v>1.7000000000000011</v>
      </c>
    </row>
    <row r="15" spans="1:19" ht="12" customHeight="1" x14ac:dyDescent="0.3">
      <c r="A15" s="33">
        <v>41275</v>
      </c>
      <c r="B15" s="8">
        <v>12.4</v>
      </c>
      <c r="C15" s="8">
        <v>1621988</v>
      </c>
      <c r="D15" s="8">
        <v>1550312.3</v>
      </c>
      <c r="E15" s="8">
        <v>99.6899241666666</v>
      </c>
      <c r="F15" s="8">
        <v>60311613</v>
      </c>
      <c r="G15" s="3"/>
      <c r="H15" s="32">
        <f t="shared" si="0"/>
        <v>104.62330718784854</v>
      </c>
      <c r="I15" s="32">
        <f t="shared" si="1"/>
        <v>132.21067735743489</v>
      </c>
      <c r="J15" s="32">
        <f t="shared" si="2"/>
        <v>25705.037933573421</v>
      </c>
      <c r="K15" s="32">
        <f t="shared" si="3"/>
        <v>92.992965399226719</v>
      </c>
      <c r="L15" s="32">
        <f t="shared" si="7"/>
        <v>-1.8266320076835838</v>
      </c>
      <c r="M15" s="32">
        <f t="array" ref="M15">TREND($D$2:$D$26,$A$2:$A$26,A15)</f>
        <v>1620409.0339400717</v>
      </c>
      <c r="N15" s="32">
        <f t="shared" si="4"/>
        <v>-4.3258666467459399</v>
      </c>
      <c r="O15" s="32">
        <f t="shared" si="8"/>
        <v>1.2199934227430793</v>
      </c>
      <c r="P15" s="32">
        <f t="shared" si="9"/>
        <v>1.1256752119974633</v>
      </c>
      <c r="Q15" s="32">
        <f t="shared" si="10"/>
        <v>1.5</v>
      </c>
      <c r="R15" s="32">
        <f t="shared" si="5"/>
        <v>9.1999999999999993</v>
      </c>
      <c r="S15" s="32">
        <f t="shared" si="6"/>
        <v>3.2000000000000011</v>
      </c>
    </row>
    <row r="16" spans="1:19" ht="12" customHeight="1" x14ac:dyDescent="0.3">
      <c r="A16" s="33">
        <v>41640</v>
      </c>
      <c r="B16" s="8">
        <v>12.8</v>
      </c>
      <c r="C16" s="8">
        <v>1637868</v>
      </c>
      <c r="D16" s="8">
        <v>1551479.1</v>
      </c>
      <c r="E16" s="8">
        <v>99.930224166666605</v>
      </c>
      <c r="F16" s="8">
        <v>60320707</v>
      </c>
      <c r="G16" s="3"/>
      <c r="H16" s="32">
        <f t="shared" si="0"/>
        <v>105.56816395399717</v>
      </c>
      <c r="I16" s="32">
        <f t="shared" si="1"/>
        <v>133.40467663365712</v>
      </c>
      <c r="J16" s="32">
        <f t="shared" si="2"/>
        <v>25720.505895264127</v>
      </c>
      <c r="K16" s="32">
        <f t="shared" si="3"/>
        <v>93.048923753772513</v>
      </c>
      <c r="L16" s="32">
        <f t="shared" si="7"/>
        <v>7.5262255224321353E-2</v>
      </c>
      <c r="M16" s="32">
        <f t="array" ref="M16">TREND($D$2:$D$26,$A$2:$A$26,A16)</f>
        <v>1621212.9382944261</v>
      </c>
      <c r="N16" s="32">
        <f t="shared" si="4"/>
        <v>-4.3013373904965544</v>
      </c>
      <c r="O16" s="32">
        <f t="shared" si="8"/>
        <v>0.24104742982676894</v>
      </c>
      <c r="P16" s="32">
        <f t="shared" si="9"/>
        <v>0.90310351636291275</v>
      </c>
      <c r="Q16" s="32">
        <f t="shared" si="10"/>
        <v>0.40000000000000036</v>
      </c>
      <c r="R16" s="32">
        <f t="shared" si="5"/>
        <v>9.1999999999999993</v>
      </c>
      <c r="S16" s="32">
        <f t="shared" si="6"/>
        <v>3.6000000000000014</v>
      </c>
    </row>
    <row r="17" spans="1:19" ht="12" customHeight="1" x14ac:dyDescent="0.3">
      <c r="A17" s="33">
        <v>42005</v>
      </c>
      <c r="B17" s="8">
        <v>12</v>
      </c>
      <c r="C17" s="8">
        <v>1662999</v>
      </c>
      <c r="D17" s="8">
        <v>1563047.2</v>
      </c>
      <c r="E17" s="8">
        <v>99.968987499999898</v>
      </c>
      <c r="F17" s="8">
        <v>60229605</v>
      </c>
      <c r="G17" s="3"/>
      <c r="H17" s="32">
        <f t="shared" si="0"/>
        <v>106.39467573340076</v>
      </c>
      <c r="I17" s="32">
        <f t="shared" si="1"/>
        <v>134.44912538160818</v>
      </c>
      <c r="J17" s="32">
        <f t="shared" si="2"/>
        <v>25951.476852620901</v>
      </c>
      <c r="K17" s="32">
        <f t="shared" si="3"/>
        <v>93.884506035394111</v>
      </c>
      <c r="L17" s="32">
        <f t="shared" si="7"/>
        <v>0.7456175207258583</v>
      </c>
      <c r="M17" s="32">
        <f t="array" ref="M17">TREND($D$2:$D$26,$A$2:$A$26,A17)</f>
        <v>1622016.8426487807</v>
      </c>
      <c r="N17" s="32">
        <f t="shared" si="4"/>
        <v>-3.6355752356111362</v>
      </c>
      <c r="O17" s="32">
        <f t="shared" si="8"/>
        <v>3.8790399657907502E-2</v>
      </c>
      <c r="P17" s="32">
        <f t="shared" si="9"/>
        <v>0.78291764150009557</v>
      </c>
      <c r="Q17" s="32">
        <f t="shared" si="10"/>
        <v>-0.80000000000000071</v>
      </c>
      <c r="R17" s="32">
        <f t="shared" si="5"/>
        <v>9.1999999999999993</v>
      </c>
      <c r="S17" s="32">
        <f t="shared" si="6"/>
        <v>2.8000000000000007</v>
      </c>
    </row>
    <row r="18" spans="1:19" ht="12" customHeight="1" x14ac:dyDescent="0.3">
      <c r="A18" s="33">
        <v>42370</v>
      </c>
      <c r="B18" s="8">
        <v>11.7</v>
      </c>
      <c r="C18" s="8">
        <v>1706584</v>
      </c>
      <c r="D18" s="8">
        <v>1584219.1</v>
      </c>
      <c r="E18" s="8">
        <v>99.875</v>
      </c>
      <c r="F18" s="8">
        <v>60115223</v>
      </c>
      <c r="G18" s="3"/>
      <c r="H18" s="32">
        <f t="shared" si="0"/>
        <v>107.72398843064069</v>
      </c>
      <c r="I18" s="32">
        <f t="shared" si="1"/>
        <v>136.12895501848229</v>
      </c>
      <c r="J18" s="32">
        <f t="shared" si="2"/>
        <v>26353.043720722784</v>
      </c>
      <c r="K18" s="32">
        <f t="shared" si="3"/>
        <v>95.337252145607039</v>
      </c>
      <c r="L18" s="32">
        <f t="shared" si="7"/>
        <v>1.3545272337265399</v>
      </c>
      <c r="M18" s="32">
        <f t="array" ref="M18">TREND($D$2:$D$26,$A$2:$A$26,A18)</f>
        <v>1622820.7470031353</v>
      </c>
      <c r="N18" s="32">
        <f t="shared" si="4"/>
        <v>-2.3786759612496251</v>
      </c>
      <c r="O18" s="32">
        <f t="shared" si="8"/>
        <v>-9.4016656915623803E-2</v>
      </c>
      <c r="P18" s="32">
        <f t="shared" si="9"/>
        <v>1.2494165596884406</v>
      </c>
      <c r="Q18" s="32">
        <f t="shared" si="10"/>
        <v>-0.30000000000000071</v>
      </c>
      <c r="R18" s="32">
        <f t="shared" si="5"/>
        <v>9.1999999999999993</v>
      </c>
      <c r="S18" s="32">
        <f t="shared" si="6"/>
        <v>2.5</v>
      </c>
    </row>
    <row r="19" spans="1:19" ht="12" customHeight="1" x14ac:dyDescent="0.3">
      <c r="A19" s="33">
        <v>42736</v>
      </c>
      <c r="B19" s="8">
        <v>11.3</v>
      </c>
      <c r="C19" s="8">
        <v>1747721</v>
      </c>
      <c r="D19" s="8">
        <v>1611022.9</v>
      </c>
      <c r="E19" s="8">
        <v>101.099999999999</v>
      </c>
      <c r="F19" s="8">
        <v>60002252</v>
      </c>
      <c r="G19" s="3"/>
      <c r="H19" s="32">
        <f t="shared" si="0"/>
        <v>108.4851742330913</v>
      </c>
      <c r="I19" s="32">
        <f t="shared" si="1"/>
        <v>137.09085245072617</v>
      </c>
      <c r="J19" s="32">
        <f t="shared" si="2"/>
        <v>26849.37392016553</v>
      </c>
      <c r="K19" s="32">
        <f t="shared" si="3"/>
        <v>97.132823005398947</v>
      </c>
      <c r="L19" s="32">
        <f t="shared" si="7"/>
        <v>1.6919250626381044</v>
      </c>
      <c r="M19" s="32">
        <f t="array" ref="M19">TREND($D$2:$D$26,$A$2:$A$26,A19)</f>
        <v>1623626.853835173</v>
      </c>
      <c r="N19" s="32">
        <f t="shared" si="4"/>
        <v>-0.77628389832314082</v>
      </c>
      <c r="O19" s="32">
        <f t="shared" si="8"/>
        <v>1.2265331664570709</v>
      </c>
      <c r="P19" s="32">
        <f t="shared" si="9"/>
        <v>0.70660751940196687</v>
      </c>
      <c r="Q19" s="32">
        <f t="shared" si="10"/>
        <v>-0.39999999999999858</v>
      </c>
      <c r="R19" s="32">
        <f t="shared" si="5"/>
        <v>9.1999999999999993</v>
      </c>
      <c r="S19" s="32">
        <f t="shared" si="6"/>
        <v>2.1000000000000014</v>
      </c>
    </row>
    <row r="20" spans="1:19" ht="12" customHeight="1" x14ac:dyDescent="0.3">
      <c r="A20" s="33">
        <v>43101</v>
      </c>
      <c r="B20" s="8">
        <v>10.6</v>
      </c>
      <c r="C20" s="8">
        <v>1778474</v>
      </c>
      <c r="D20" s="8">
        <v>1622001.5</v>
      </c>
      <c r="E20" s="8">
        <v>102.25</v>
      </c>
      <c r="F20" s="8">
        <v>59877221</v>
      </c>
      <c r="G20" s="3"/>
      <c r="H20" s="32">
        <f t="shared" si="0"/>
        <v>109.64687763852253</v>
      </c>
      <c r="I20" s="32">
        <f t="shared" si="1"/>
        <v>138.55887710267811</v>
      </c>
      <c r="J20" s="32">
        <f t="shared" si="2"/>
        <v>27088.79057697083</v>
      </c>
      <c r="K20" s="32">
        <f t="shared" si="3"/>
        <v>97.998959244521743</v>
      </c>
      <c r="L20" s="32">
        <f t="shared" si="7"/>
        <v>0.6814676563567218</v>
      </c>
      <c r="M20" s="32">
        <f t="array" ref="M20">TREND($D$2:$D$26,$A$2:$A$26,A20)</f>
        <v>1624430.7581895273</v>
      </c>
      <c r="N20" s="32">
        <f t="shared" si="4"/>
        <v>-0.14954519774267219</v>
      </c>
      <c r="O20" s="32">
        <f t="shared" si="8"/>
        <v>1.1374876360049573</v>
      </c>
      <c r="P20" s="32">
        <f t="shared" si="9"/>
        <v>1.070840705786386</v>
      </c>
      <c r="Q20" s="32">
        <f t="shared" si="10"/>
        <v>-0.70000000000000107</v>
      </c>
      <c r="R20" s="32">
        <f t="shared" si="5"/>
        <v>9.1999999999999993</v>
      </c>
      <c r="S20" s="32">
        <f t="shared" si="6"/>
        <v>1.4000000000000004</v>
      </c>
    </row>
    <row r="21" spans="1:19" ht="12" customHeight="1" x14ac:dyDescent="0.3">
      <c r="A21" s="33">
        <v>43466</v>
      </c>
      <c r="B21" s="8">
        <v>9.9</v>
      </c>
      <c r="C21" s="8">
        <v>1804609</v>
      </c>
      <c r="D21" s="8">
        <v>1628787.7</v>
      </c>
      <c r="E21" s="8">
        <v>102.875</v>
      </c>
      <c r="F21" s="8">
        <v>59729081</v>
      </c>
      <c r="G21" s="3"/>
      <c r="H21" s="32">
        <f t="shared" si="0"/>
        <v>110.7946112314085</v>
      </c>
      <c r="I21" s="32">
        <f t="shared" si="1"/>
        <v>140.0092483423187</v>
      </c>
      <c r="J21" s="32">
        <f t="shared" si="2"/>
        <v>27269.592512230349</v>
      </c>
      <c r="K21" s="32">
        <f t="shared" si="3"/>
        <v>98.653045348310044</v>
      </c>
      <c r="L21" s="32">
        <f t="shared" si="7"/>
        <v>0.41838432331905695</v>
      </c>
      <c r="M21" s="32">
        <f t="array" ref="M21">TREND($D$2:$D$26,$A$2:$A$26,A21)</f>
        <v>1625234.6625438819</v>
      </c>
      <c r="N21" s="32">
        <f t="shared" si="4"/>
        <v>0.21861688887170797</v>
      </c>
      <c r="O21" s="32">
        <f t="shared" si="8"/>
        <v>0.61124694376528121</v>
      </c>
      <c r="P21" s="32">
        <f t="shared" si="9"/>
        <v>1.046754469990246</v>
      </c>
      <c r="Q21" s="32">
        <f t="shared" si="10"/>
        <v>-0.69999999999999929</v>
      </c>
      <c r="R21" s="32">
        <f t="shared" si="5"/>
        <v>9.1999999999999993</v>
      </c>
      <c r="S21" s="32">
        <f t="shared" si="6"/>
        <v>0.70000000000000107</v>
      </c>
    </row>
    <row r="22" spans="1:19" ht="12" customHeight="1" x14ac:dyDescent="0.3">
      <c r="A22" s="33">
        <v>43831</v>
      </c>
      <c r="B22" s="8">
        <v>9.4</v>
      </c>
      <c r="C22" s="8">
        <v>1668953</v>
      </c>
      <c r="D22" s="8">
        <v>1482978</v>
      </c>
      <c r="E22" s="8">
        <v>102.73333333333299</v>
      </c>
      <c r="F22" s="8">
        <v>59438851</v>
      </c>
      <c r="G22" s="3"/>
      <c r="H22" s="32">
        <f t="shared" si="0"/>
        <v>112.54064456788974</v>
      </c>
      <c r="I22" s="32">
        <f t="shared" si="1"/>
        <v>142.21568069768645</v>
      </c>
      <c r="J22" s="32">
        <f t="shared" si="2"/>
        <v>24949.64110258457</v>
      </c>
      <c r="K22" s="32">
        <f t="shared" si="3"/>
        <v>90.260170701612878</v>
      </c>
      <c r="L22" s="32">
        <f t="shared" si="7"/>
        <v>-8.9520383779911867</v>
      </c>
      <c r="M22" s="32">
        <f t="array" ref="M22">TREND($D$2:$D$26,$A$2:$A$26,A22)</f>
        <v>1626038.5668982365</v>
      </c>
      <c r="N22" s="32">
        <f t="shared" si="4"/>
        <v>-8.7981041661965556</v>
      </c>
      <c r="O22" s="32">
        <f t="shared" si="8"/>
        <v>-0.137707573916896</v>
      </c>
      <c r="P22" s="32">
        <f t="shared" si="9"/>
        <v>1.5759190064166901</v>
      </c>
      <c r="Q22" s="32">
        <f t="shared" si="10"/>
        <v>-0.5</v>
      </c>
      <c r="R22" s="32">
        <f t="shared" si="5"/>
        <v>9.1999999999999993</v>
      </c>
      <c r="S22" s="32">
        <f t="shared" si="6"/>
        <v>0.20000000000000107</v>
      </c>
    </row>
    <row r="23" spans="1:19" ht="12" customHeight="1" x14ac:dyDescent="0.3">
      <c r="A23" s="33">
        <v>44197</v>
      </c>
      <c r="B23" s="8">
        <v>9.6</v>
      </c>
      <c r="C23" s="8">
        <v>1839200</v>
      </c>
      <c r="D23" s="8">
        <v>1613527.7</v>
      </c>
      <c r="E23" s="8">
        <v>104.658333333333</v>
      </c>
      <c r="F23" s="8">
        <v>59133173</v>
      </c>
      <c r="G23" s="3"/>
      <c r="H23" s="32">
        <f t="shared" si="0"/>
        <v>113.98626748087437</v>
      </c>
      <c r="I23" s="32">
        <f t="shared" si="1"/>
        <v>144.04248955764689</v>
      </c>
      <c r="J23" s="32">
        <f t="shared" si="2"/>
        <v>27286.337230711433</v>
      </c>
      <c r="K23" s="32">
        <f t="shared" si="3"/>
        <v>98.71362261842944</v>
      </c>
      <c r="L23" s="32">
        <f t="shared" si="7"/>
        <v>8.8032121852111054</v>
      </c>
      <c r="M23" s="32">
        <f t="array" ref="M23">TREND($D$2:$D$26,$A$2:$A$26,A23)</f>
        <v>1626844.6737302742</v>
      </c>
      <c r="N23" s="32">
        <f t="shared" si="4"/>
        <v>-0.818576840512935</v>
      </c>
      <c r="O23" s="32">
        <f t="shared" si="8"/>
        <v>1.873783257624936</v>
      </c>
      <c r="P23" s="32">
        <f t="shared" si="9"/>
        <v>1.2845340619251255</v>
      </c>
      <c r="Q23" s="32">
        <f t="shared" si="10"/>
        <v>0.19999999999999929</v>
      </c>
      <c r="R23" s="32">
        <f t="shared" si="5"/>
        <v>9.1999999999999993</v>
      </c>
      <c r="S23" s="32">
        <f t="shared" si="6"/>
        <v>0.40000000000000036</v>
      </c>
    </row>
    <row r="24" spans="1:19" ht="12" customHeight="1" x14ac:dyDescent="0.3">
      <c r="A24" s="33">
        <v>44562</v>
      </c>
      <c r="B24" s="8">
        <v>8.1</v>
      </c>
      <c r="C24" s="8">
        <v>1997356</v>
      </c>
      <c r="D24" s="8">
        <v>1693790.8</v>
      </c>
      <c r="E24" s="8">
        <v>113.24166666666601</v>
      </c>
      <c r="F24" s="8">
        <v>59013667</v>
      </c>
      <c r="G24" s="3"/>
      <c r="H24" s="32">
        <f t="shared" si="0"/>
        <v>117.92223691379124</v>
      </c>
      <c r="I24" s="32">
        <f t="shared" si="1"/>
        <v>149.01630656622007</v>
      </c>
      <c r="J24" s="32">
        <f t="shared" si="2"/>
        <v>28701.670072459656</v>
      </c>
      <c r="K24" s="32">
        <f t="shared" si="3"/>
        <v>103.83386396260492</v>
      </c>
      <c r="L24" s="32">
        <f t="shared" si="7"/>
        <v>4.9743862469792175</v>
      </c>
      <c r="M24" s="32">
        <f t="array" ref="M24">TREND($D$2:$D$26,$A$2:$A$26,A24)</f>
        <v>1627648.5780846286</v>
      </c>
      <c r="N24" s="32">
        <f t="shared" si="4"/>
        <v>4.0636672317316682</v>
      </c>
      <c r="O24" s="32">
        <f t="shared" si="8"/>
        <v>8.2012899116168754</v>
      </c>
      <c r="P24" s="32">
        <f t="shared" si="9"/>
        <v>3.4530207189890443</v>
      </c>
      <c r="Q24" s="32">
        <f t="shared" si="10"/>
        <v>-1.5</v>
      </c>
      <c r="R24" s="32">
        <f t="shared" si="5"/>
        <v>9.1999999999999993</v>
      </c>
      <c r="S24" s="32">
        <f t="shared" si="6"/>
        <v>-1.0999999999999996</v>
      </c>
    </row>
    <row r="25" spans="1:19" ht="12" customHeight="1" x14ac:dyDescent="0.3">
      <c r="A25" s="33">
        <v>44927</v>
      </c>
      <c r="B25" s="8">
        <v>7.7</v>
      </c>
      <c r="C25" s="8">
        <v>2144028</v>
      </c>
      <c r="D25" s="8">
        <v>1711057.8</v>
      </c>
      <c r="E25" s="8">
        <v>119.60833333333299</v>
      </c>
      <c r="F25" s="8">
        <v>58984216</v>
      </c>
      <c r="G25" s="3"/>
      <c r="H25" s="32">
        <f t="shared" si="0"/>
        <v>125.3042416217617</v>
      </c>
      <c r="I25" s="32">
        <f t="shared" si="1"/>
        <v>158.344819198154</v>
      </c>
      <c r="J25" s="32">
        <f t="shared" si="2"/>
        <v>29008.740236540569</v>
      </c>
      <c r="K25" s="32">
        <f t="shared" si="3"/>
        <v>104.94474989933467</v>
      </c>
      <c r="L25" s="32">
        <f t="shared" si="7"/>
        <v>1.0194293179535514</v>
      </c>
      <c r="M25" s="32">
        <f t="array" ref="M25">TREND($D$2:$D$26,$A$2:$A$26,A25)</f>
        <v>1628452.4824389832</v>
      </c>
      <c r="N25" s="32">
        <f t="shared" si="4"/>
        <v>5.0726268314133653</v>
      </c>
      <c r="O25" s="32">
        <f t="shared" si="8"/>
        <v>5.6221944219592528</v>
      </c>
      <c r="P25" s="32">
        <f t="shared" si="9"/>
        <v>6.2600616314352893</v>
      </c>
      <c r="Q25" s="32">
        <f t="shared" si="10"/>
        <v>-0.39999999999999947</v>
      </c>
      <c r="R25" s="32">
        <f t="shared" si="5"/>
        <v>9.1999999999999993</v>
      </c>
      <c r="S25" s="32">
        <f t="shared" si="6"/>
        <v>-1.4999999999999991</v>
      </c>
    </row>
    <row r="26" spans="1:19" ht="12" customHeight="1" x14ac:dyDescent="0.3">
      <c r="A26" s="33">
        <v>45292</v>
      </c>
      <c r="B26" s="8">
        <v>6.6</v>
      </c>
      <c r="C26" s="8">
        <v>2199105</v>
      </c>
      <c r="D26" s="8">
        <v>1721090.6</v>
      </c>
      <c r="E26" s="8">
        <v>120.783333333333</v>
      </c>
      <c r="F26" s="8">
        <v>58952704</v>
      </c>
      <c r="G26" s="3"/>
      <c r="H26" s="32">
        <f t="shared" si="0"/>
        <v>127.77392427801301</v>
      </c>
      <c r="I26" s="32">
        <f t="shared" si="1"/>
        <v>161.46571477694351</v>
      </c>
      <c r="J26" s="32">
        <f t="shared" si="2"/>
        <v>29194.430165578156</v>
      </c>
      <c r="K26" s="32">
        <f t="shared" si="3"/>
        <v>105.61651926962699</v>
      </c>
      <c r="L26" s="32">
        <f t="shared" si="7"/>
        <v>0.58635073578461494</v>
      </c>
      <c r="M26" s="32">
        <f t="array" ref="M26">TREND($D$2:$D$26,$A$2:$A$26,A26)</f>
        <v>1629256.3867933378</v>
      </c>
      <c r="N26" s="32">
        <f t="shared" si="4"/>
        <v>5.6365722394010787</v>
      </c>
      <c r="O26" s="32">
        <f t="shared" si="8"/>
        <v>0.98237302306139318</v>
      </c>
      <c r="P26" s="32">
        <f t="shared" si="9"/>
        <v>1.9709489673192324</v>
      </c>
      <c r="Q26" s="32">
        <f t="shared" si="10"/>
        <v>-1.1000000000000005</v>
      </c>
      <c r="R26" s="32">
        <f t="shared" si="5"/>
        <v>9.1999999999999993</v>
      </c>
      <c r="S26" s="32">
        <f t="shared" si="6"/>
        <v>-2.5999999999999996</v>
      </c>
    </row>
    <row r="27" spans="1:19" ht="12" customHeight="1" x14ac:dyDescent="0.3">
      <c r="A27" s="49" t="s">
        <v>18</v>
      </c>
      <c r="B27" s="12" t="s">
        <v>130</v>
      </c>
      <c r="C27" s="12" t="s">
        <v>131</v>
      </c>
      <c r="D27" s="12" t="s">
        <v>132</v>
      </c>
      <c r="E27" s="12" t="s">
        <v>133</v>
      </c>
      <c r="F27" s="12" t="s">
        <v>134</v>
      </c>
      <c r="G27" s="25"/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</row>
    <row r="28" spans="1:19" ht="36.75" customHeight="1" x14ac:dyDescent="0.3">
      <c r="A28" s="50"/>
      <c r="B28" s="11"/>
      <c r="C28" s="11"/>
      <c r="D28" s="11"/>
      <c r="E28" s="11"/>
      <c r="F28" s="11"/>
      <c r="G28" s="24"/>
      <c r="H28" s="7" t="s">
        <v>25</v>
      </c>
      <c r="I28" s="7" t="s">
        <v>26</v>
      </c>
      <c r="J28" s="7" t="s">
        <v>82</v>
      </c>
      <c r="K28" s="7" t="s">
        <v>28</v>
      </c>
      <c r="L28" s="7" t="s">
        <v>29</v>
      </c>
      <c r="M28" s="7" t="s">
        <v>30</v>
      </c>
      <c r="N28" s="7" t="s">
        <v>31</v>
      </c>
      <c r="O28" s="7" t="s">
        <v>32</v>
      </c>
      <c r="P28" s="7" t="s">
        <v>33</v>
      </c>
      <c r="Q28" s="7" t="s">
        <v>34</v>
      </c>
      <c r="R28" s="7" t="s">
        <v>35</v>
      </c>
      <c r="S28" s="7" t="s">
        <v>36</v>
      </c>
    </row>
    <row r="29" spans="1:19" ht="12" customHeight="1" x14ac:dyDescent="0.3">
      <c r="A29" s="50" t="s">
        <v>37</v>
      </c>
      <c r="B29" s="11" t="s">
        <v>38</v>
      </c>
      <c r="C29" s="11" t="s">
        <v>38</v>
      </c>
      <c r="D29" s="11" t="s">
        <v>38</v>
      </c>
      <c r="E29" s="11" t="s">
        <v>38</v>
      </c>
      <c r="F29" s="11" t="s">
        <v>38</v>
      </c>
      <c r="G29" s="24" t="s">
        <v>39</v>
      </c>
      <c r="H29" s="7" t="s">
        <v>38</v>
      </c>
      <c r="I29" s="7" t="s">
        <v>38</v>
      </c>
      <c r="J29" s="7" t="s">
        <v>38</v>
      </c>
      <c r="K29" s="7" t="s">
        <v>38</v>
      </c>
      <c r="L29" s="7" t="s">
        <v>40</v>
      </c>
      <c r="M29" s="7" t="s">
        <v>38</v>
      </c>
      <c r="N29" s="7" t="s">
        <v>38</v>
      </c>
      <c r="O29" s="7" t="s">
        <v>40</v>
      </c>
      <c r="P29" s="7" t="s">
        <v>40</v>
      </c>
      <c r="Q29" s="7" t="s">
        <v>40</v>
      </c>
      <c r="R29" s="7" t="s">
        <v>38</v>
      </c>
      <c r="S29" s="7" t="s">
        <v>38</v>
      </c>
    </row>
    <row r="30" spans="1:19" ht="24" customHeight="1" x14ac:dyDescent="0.3">
      <c r="A30" s="50" t="s">
        <v>41</v>
      </c>
      <c r="B30" s="11" t="s">
        <v>83</v>
      </c>
      <c r="C30" s="11" t="s">
        <v>84</v>
      </c>
      <c r="D30" s="11" t="s">
        <v>85</v>
      </c>
      <c r="E30" s="11" t="s">
        <v>86</v>
      </c>
      <c r="F30" s="11" t="s">
        <v>87</v>
      </c>
      <c r="G30" s="24" t="s">
        <v>47</v>
      </c>
      <c r="H30" s="7" t="s">
        <v>48</v>
      </c>
      <c r="I30" s="7" t="s">
        <v>49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54</v>
      </c>
      <c r="O30" s="7" t="s">
        <v>55</v>
      </c>
      <c r="P30" s="7" t="s">
        <v>49</v>
      </c>
      <c r="Q30" s="7" t="s">
        <v>56</v>
      </c>
      <c r="R30" s="7" t="s">
        <v>56</v>
      </c>
      <c r="S30" s="7" t="s">
        <v>57</v>
      </c>
    </row>
    <row r="31" spans="1:19" ht="48.75" customHeight="1" x14ac:dyDescent="0.3">
      <c r="A31" s="50" t="s">
        <v>58</v>
      </c>
      <c r="B31" s="11" t="s">
        <v>59</v>
      </c>
      <c r="C31" s="11" t="s">
        <v>88</v>
      </c>
      <c r="D31" s="11" t="s">
        <v>89</v>
      </c>
      <c r="E31" s="11" t="s">
        <v>59</v>
      </c>
      <c r="F31" s="11" t="s">
        <v>90</v>
      </c>
      <c r="G31" s="24" t="s">
        <v>61</v>
      </c>
      <c r="H31" s="7" t="s">
        <v>62</v>
      </c>
      <c r="I31" s="7" t="s">
        <v>63</v>
      </c>
      <c r="J31" s="7" t="s">
        <v>91</v>
      </c>
      <c r="K31" s="7" t="s">
        <v>65</v>
      </c>
      <c r="L31" s="7" t="s">
        <v>66</v>
      </c>
      <c r="M31" s="7" t="s">
        <v>67</v>
      </c>
      <c r="N31" s="7" t="s">
        <v>68</v>
      </c>
      <c r="O31" s="7" t="s">
        <v>69</v>
      </c>
      <c r="P31" s="7" t="s">
        <v>70</v>
      </c>
      <c r="Q31" s="7" t="s">
        <v>71</v>
      </c>
      <c r="R31" s="7" t="s">
        <v>72</v>
      </c>
      <c r="S31" s="7" t="s">
        <v>73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topLeftCell="K41" zoomScale="59" zoomScaleNormal="70" workbookViewId="0">
      <selection activeCell="M84" sqref="M84"/>
    </sheetView>
  </sheetViews>
  <sheetFormatPr defaultColWidth="8.5546875" defaultRowHeight="14.25" customHeight="1" x14ac:dyDescent="0.3"/>
  <cols>
    <col min="1" max="1" width="23.77734375" customWidth="1"/>
    <col min="2" max="6" width="27.44140625" customWidth="1"/>
    <col min="7" max="7" width="7.44140625" customWidth="1"/>
    <col min="8" max="8" width="17.6640625" customWidth="1"/>
    <col min="9" max="9" width="34.33203125" customWidth="1"/>
    <col min="10" max="10" width="37.88671875" customWidth="1"/>
    <col min="11" max="11" width="42" customWidth="1"/>
    <col min="12" max="12" width="23.77734375" customWidth="1"/>
    <col min="13" max="13" width="31.33203125" customWidth="1"/>
    <col min="14" max="14" width="27" customWidth="1"/>
    <col min="15" max="15" width="23.77734375" customWidth="1"/>
    <col min="16" max="16" width="34.21875" customWidth="1"/>
    <col min="17" max="17" width="39.109375" customWidth="1"/>
    <col min="18" max="18" width="36.21875" customWidth="1"/>
    <col min="19" max="19" width="27.21875" customWidth="1"/>
  </cols>
  <sheetData>
    <row r="1" spans="1:19" ht="12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8" t="s">
        <v>129</v>
      </c>
      <c r="F1" s="38" t="s">
        <v>75</v>
      </c>
      <c r="G1" s="31"/>
      <c r="H1" s="31" t="s">
        <v>6</v>
      </c>
      <c r="I1" s="31" t="s">
        <v>7</v>
      </c>
      <c r="J1" s="31" t="s">
        <v>76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</row>
    <row r="2" spans="1:19" ht="12" customHeight="1" x14ac:dyDescent="0.3">
      <c r="A2" s="33">
        <v>36526</v>
      </c>
      <c r="B2" s="8">
        <v>9.1999999999999993</v>
      </c>
      <c r="C2" s="8">
        <v>1475503.3</v>
      </c>
      <c r="D2" s="8">
        <v>1750227.2</v>
      </c>
      <c r="E2" s="8">
        <v>79.929166666666603</v>
      </c>
      <c r="F2" s="8">
        <v>60918661</v>
      </c>
      <c r="G2" s="3"/>
      <c r="H2" s="32">
        <f t="shared" ref="H2:H26" si="0">C2/D2*100</f>
        <v>84.30352927894161</v>
      </c>
      <c r="I2" s="32">
        <f t="shared" ref="I2:I26" si="1">H2/$H$2*100</f>
        <v>100</v>
      </c>
      <c r="J2" s="32">
        <f t="shared" ref="J2:J26" si="2">(D2*1000000)/F2</f>
        <v>28730.559261635775</v>
      </c>
      <c r="K2" s="32">
        <f t="shared" ref="K2:K26" si="3">J2/$J$2*100</f>
        <v>100</v>
      </c>
      <c r="L2" s="32"/>
      <c r="M2" s="32">
        <f t="array" ref="M2">TREND($D$2:$D$26,$A$2:$A$26,A2)</f>
        <v>1778794.2483518936</v>
      </c>
      <c r="N2" s="32">
        <f t="shared" ref="N2:N26" si="4">(D2-M2)/M2*100</f>
        <v>-1.6059782281375092</v>
      </c>
      <c r="O2" s="32"/>
      <c r="P2" s="32"/>
      <c r="Q2" s="32"/>
      <c r="R2" s="32">
        <f t="shared" ref="R2:R26" si="5">AVERAGE($B$2:$B$26)</f>
        <v>8.7920000000000016</v>
      </c>
      <c r="S2" s="32">
        <f t="shared" ref="S2:S26" si="6">B2-R2</f>
        <v>0.4079999999999977</v>
      </c>
    </row>
    <row r="3" spans="1:19" ht="12" customHeight="1" x14ac:dyDescent="0.3">
      <c r="A3" s="33">
        <v>36892</v>
      </c>
      <c r="B3" s="8">
        <v>8.5</v>
      </c>
      <c r="C3" s="8">
        <v>1531244.5</v>
      </c>
      <c r="D3" s="8">
        <v>1782380.2</v>
      </c>
      <c r="E3" s="8">
        <v>81.235833333333304</v>
      </c>
      <c r="F3" s="8">
        <v>61364377</v>
      </c>
      <c r="G3" s="3"/>
      <c r="H3" s="32">
        <f t="shared" si="0"/>
        <v>85.91009370503555</v>
      </c>
      <c r="I3" s="32">
        <f t="shared" si="1"/>
        <v>101.90569059188279</v>
      </c>
      <c r="J3" s="32">
        <f t="shared" si="2"/>
        <v>29045.845279257053</v>
      </c>
      <c r="K3" s="32">
        <f t="shared" si="3"/>
        <v>101.0973890718594</v>
      </c>
      <c r="L3" s="32">
        <f t="shared" ref="L3:L26" si="7">(D3-D2)/D2*100</f>
        <v>1.83707578079006</v>
      </c>
      <c r="M3" s="32">
        <f t="array" ref="M3">TREND($D$2:$D$26,$A$2:$A$26,A3)</f>
        <v>1801425.5415660504</v>
      </c>
      <c r="N3" s="32">
        <f t="shared" si="4"/>
        <v>-1.0572372338794285</v>
      </c>
      <c r="O3" s="32">
        <f t="shared" ref="O3:O26" si="8">(E3-E2)/E2*100</f>
        <v>1.6347807954960558</v>
      </c>
      <c r="P3" s="32">
        <f t="shared" ref="P3:P26" si="9">(H3-H2)/H2*100</f>
        <v>1.9056905918827849</v>
      </c>
      <c r="Q3" s="32">
        <f t="shared" ref="Q3:Q26" si="10">B3-B2</f>
        <v>-0.69999999999999929</v>
      </c>
      <c r="R3" s="32">
        <f t="shared" si="5"/>
        <v>8.7920000000000016</v>
      </c>
      <c r="S3" s="32">
        <f t="shared" si="6"/>
        <v>-0.29200000000000159</v>
      </c>
    </row>
    <row r="4" spans="1:19" ht="12" customHeight="1" x14ac:dyDescent="0.3">
      <c r="A4" s="33">
        <v>37257</v>
      </c>
      <c r="B4" s="8">
        <v>8.3000000000000007</v>
      </c>
      <c r="C4" s="8">
        <v>1580459.7</v>
      </c>
      <c r="D4" s="8">
        <v>1802458.8</v>
      </c>
      <c r="E4" s="8">
        <v>82.798333333333304</v>
      </c>
      <c r="F4" s="8">
        <v>61812142</v>
      </c>
      <c r="G4" s="3"/>
      <c r="H4" s="32">
        <f t="shared" si="0"/>
        <v>87.683540949729334</v>
      </c>
      <c r="I4" s="32">
        <f t="shared" si="1"/>
        <v>104.00933590763918</v>
      </c>
      <c r="J4" s="32">
        <f t="shared" si="2"/>
        <v>29160.270808929417</v>
      </c>
      <c r="K4" s="32">
        <f t="shared" si="3"/>
        <v>101.49566022499062</v>
      </c>
      <c r="L4" s="32">
        <f t="shared" si="7"/>
        <v>1.126504883750397</v>
      </c>
      <c r="M4" s="32">
        <f t="array" ref="M4">TREND($D$2:$D$26,$A$2:$A$26,A4)</f>
        <v>1823995.0006457421</v>
      </c>
      <c r="N4" s="32">
        <f t="shared" si="4"/>
        <v>-1.1807159908945817</v>
      </c>
      <c r="O4" s="32">
        <f t="shared" si="8"/>
        <v>1.9234122872706019</v>
      </c>
      <c r="P4" s="32">
        <f t="shared" si="9"/>
        <v>2.0643060299558669</v>
      </c>
      <c r="Q4" s="32">
        <f t="shared" si="10"/>
        <v>-0.19999999999999929</v>
      </c>
      <c r="R4" s="32">
        <f t="shared" si="5"/>
        <v>8.7920000000000016</v>
      </c>
      <c r="S4" s="32">
        <f t="shared" si="6"/>
        <v>-0.49200000000000088</v>
      </c>
    </row>
    <row r="5" spans="1:19" ht="12" customHeight="1" x14ac:dyDescent="0.3">
      <c r="A5" s="33">
        <v>37622</v>
      </c>
      <c r="B5" s="8">
        <v>8.5</v>
      </c>
      <c r="C5" s="8">
        <v>1624806.1</v>
      </c>
      <c r="D5" s="8">
        <v>1820279.2</v>
      </c>
      <c r="E5" s="8">
        <v>84.535833333333301</v>
      </c>
      <c r="F5" s="8">
        <v>62249855</v>
      </c>
      <c r="G5" s="3"/>
      <c r="H5" s="32">
        <f t="shared" si="0"/>
        <v>89.261367157302033</v>
      </c>
      <c r="I5" s="32">
        <f t="shared" si="1"/>
        <v>105.88093751325172</v>
      </c>
      <c r="J5" s="32">
        <f t="shared" si="2"/>
        <v>29241.501044460263</v>
      </c>
      <c r="K5" s="32">
        <f t="shared" si="3"/>
        <v>101.7783913573404</v>
      </c>
      <c r="L5" s="32">
        <f t="shared" si="7"/>
        <v>0.98867169668454602</v>
      </c>
      <c r="M5" s="32">
        <f t="array" ref="M5">TREND($D$2:$D$26,$A$2:$A$26,A5)</f>
        <v>1846564.4597254342</v>
      </c>
      <c r="N5" s="32">
        <f t="shared" si="4"/>
        <v>-1.423468300117863</v>
      </c>
      <c r="O5" s="32">
        <f t="shared" si="8"/>
        <v>2.0984721914692299</v>
      </c>
      <c r="P5" s="32">
        <f t="shared" si="9"/>
        <v>1.799455394345099</v>
      </c>
      <c r="Q5" s="32">
        <f t="shared" si="10"/>
        <v>0.19999999999999929</v>
      </c>
      <c r="R5" s="32">
        <f t="shared" si="5"/>
        <v>8.7920000000000016</v>
      </c>
      <c r="S5" s="32">
        <f t="shared" si="6"/>
        <v>-0.29200000000000159</v>
      </c>
    </row>
    <row r="6" spans="1:19" ht="12" customHeight="1" x14ac:dyDescent="0.3">
      <c r="A6" s="33">
        <v>37987</v>
      </c>
      <c r="B6" s="8">
        <v>8.9</v>
      </c>
      <c r="C6" s="8">
        <v>1692878.6</v>
      </c>
      <c r="D6" s="8">
        <v>1866127.3</v>
      </c>
      <c r="E6" s="8">
        <v>86.346666666666593</v>
      </c>
      <c r="F6" s="8">
        <v>62707588</v>
      </c>
      <c r="G6" s="3"/>
      <c r="H6" s="32">
        <f t="shared" si="0"/>
        <v>90.716137103829951</v>
      </c>
      <c r="I6" s="32">
        <f t="shared" si="1"/>
        <v>107.60657101753172</v>
      </c>
      <c r="J6" s="32">
        <f t="shared" si="2"/>
        <v>29759.194373733528</v>
      </c>
      <c r="K6" s="32">
        <f t="shared" si="3"/>
        <v>103.58028224487541</v>
      </c>
      <c r="L6" s="32">
        <f t="shared" si="7"/>
        <v>2.5187399823060161</v>
      </c>
      <c r="M6" s="32">
        <f t="array" ref="M6">TREND($D$2:$D$26,$A$2:$A$26,A6)</f>
        <v>1869133.9188051263</v>
      </c>
      <c r="N6" s="32">
        <f t="shared" si="4"/>
        <v>-0.16085625405847409</v>
      </c>
      <c r="O6" s="32">
        <f t="shared" si="8"/>
        <v>2.1420896464023653</v>
      </c>
      <c r="P6" s="32">
        <f t="shared" si="9"/>
        <v>1.6297867631404641</v>
      </c>
      <c r="Q6" s="32">
        <f t="shared" si="10"/>
        <v>0.40000000000000036</v>
      </c>
      <c r="R6" s="32">
        <f t="shared" si="5"/>
        <v>8.7920000000000016</v>
      </c>
      <c r="S6" s="32">
        <f t="shared" si="6"/>
        <v>0.10799999999999876</v>
      </c>
    </row>
    <row r="7" spans="1:19" ht="12" customHeight="1" x14ac:dyDescent="0.3">
      <c r="A7" s="33">
        <v>38353</v>
      </c>
      <c r="B7" s="8">
        <v>8.9</v>
      </c>
      <c r="C7" s="8">
        <v>1760519.9</v>
      </c>
      <c r="D7" s="8">
        <v>1903204.7</v>
      </c>
      <c r="E7" s="8">
        <v>87.8541666666666</v>
      </c>
      <c r="F7" s="8">
        <v>63180854</v>
      </c>
      <c r="G7" s="3"/>
      <c r="H7" s="32">
        <f t="shared" si="0"/>
        <v>92.502918892539512</v>
      </c>
      <c r="I7" s="32">
        <f t="shared" si="1"/>
        <v>109.72603363551714</v>
      </c>
      <c r="J7" s="32">
        <f t="shared" si="2"/>
        <v>30123.124008421917</v>
      </c>
      <c r="K7" s="32">
        <f t="shared" si="3"/>
        <v>104.84698099366847</v>
      </c>
      <c r="L7" s="32">
        <f t="shared" si="7"/>
        <v>1.9868633827927979</v>
      </c>
      <c r="M7" s="32">
        <f t="array" ref="M7">TREND($D$2:$D$26,$A$2:$A$26,A7)</f>
        <v>1891765.2120192831</v>
      </c>
      <c r="N7" s="32">
        <f t="shared" si="4"/>
        <v>0.60469914067751962</v>
      </c>
      <c r="O7" s="32">
        <f t="shared" si="8"/>
        <v>1.7458693638048279</v>
      </c>
      <c r="P7" s="32">
        <f t="shared" si="9"/>
        <v>1.9696405135334241</v>
      </c>
      <c r="Q7" s="32">
        <f t="shared" si="10"/>
        <v>0</v>
      </c>
      <c r="R7" s="32">
        <f t="shared" si="5"/>
        <v>8.7920000000000016</v>
      </c>
      <c r="S7" s="32">
        <f t="shared" si="6"/>
        <v>0.10799999999999876</v>
      </c>
    </row>
    <row r="8" spans="1:19" ht="12" customHeight="1" x14ac:dyDescent="0.3">
      <c r="A8" s="33">
        <v>38718</v>
      </c>
      <c r="B8" s="8">
        <v>8.9</v>
      </c>
      <c r="C8" s="8">
        <v>1848255.5</v>
      </c>
      <c r="D8" s="8">
        <v>1959090.6</v>
      </c>
      <c r="E8" s="8">
        <v>89.325833333333307</v>
      </c>
      <c r="F8" s="8">
        <v>63622342</v>
      </c>
      <c r="G8" s="3"/>
      <c r="H8" s="32">
        <f t="shared" si="0"/>
        <v>94.342523005316849</v>
      </c>
      <c r="I8" s="32">
        <f t="shared" si="1"/>
        <v>111.90815356396106</v>
      </c>
      <c r="J8" s="32">
        <f t="shared" si="2"/>
        <v>30792.494246753758</v>
      </c>
      <c r="K8" s="32">
        <f t="shared" si="3"/>
        <v>107.17680072406841</v>
      </c>
      <c r="L8" s="32">
        <f t="shared" si="7"/>
        <v>2.9364103609033827</v>
      </c>
      <c r="M8" s="32">
        <f t="array" ref="M8">TREND($D$2:$D$26,$A$2:$A$26,A8)</f>
        <v>1914334.6710989752</v>
      </c>
      <c r="N8" s="32">
        <f t="shared" si="4"/>
        <v>2.3379364944234915</v>
      </c>
      <c r="O8" s="32">
        <f t="shared" si="8"/>
        <v>1.6751244960873126</v>
      </c>
      <c r="P8" s="32">
        <f t="shared" si="9"/>
        <v>1.9886984484396675</v>
      </c>
      <c r="Q8" s="32">
        <f t="shared" si="10"/>
        <v>0</v>
      </c>
      <c r="R8" s="32">
        <f t="shared" si="5"/>
        <v>8.7920000000000016</v>
      </c>
      <c r="S8" s="32">
        <f t="shared" si="6"/>
        <v>0.10799999999999876</v>
      </c>
    </row>
    <row r="9" spans="1:19" ht="12" customHeight="1" x14ac:dyDescent="0.3">
      <c r="A9" s="33">
        <v>39083</v>
      </c>
      <c r="B9" s="8">
        <v>8</v>
      </c>
      <c r="C9" s="8">
        <v>1939249.6</v>
      </c>
      <c r="D9" s="8">
        <v>2007651.7</v>
      </c>
      <c r="E9" s="8">
        <v>90.655000000000001</v>
      </c>
      <c r="F9" s="8">
        <v>64016890</v>
      </c>
      <c r="G9" s="3"/>
      <c r="H9" s="32">
        <f t="shared" si="0"/>
        <v>96.59292993899291</v>
      </c>
      <c r="I9" s="32">
        <f t="shared" si="1"/>
        <v>114.57756367398144</v>
      </c>
      <c r="J9" s="32">
        <f t="shared" si="2"/>
        <v>31361.281374337304</v>
      </c>
      <c r="K9" s="32">
        <f t="shared" si="3"/>
        <v>109.15652942480085</v>
      </c>
      <c r="L9" s="32">
        <f t="shared" si="7"/>
        <v>2.4787572356275844</v>
      </c>
      <c r="M9" s="32">
        <f t="array" ref="M9">TREND($D$2:$D$26,$A$2:$A$26,A9)</f>
        <v>1936904.1301786669</v>
      </c>
      <c r="N9" s="32">
        <f t="shared" si="4"/>
        <v>3.6526108194527436</v>
      </c>
      <c r="O9" s="32">
        <f t="shared" si="8"/>
        <v>1.4879980595386118</v>
      </c>
      <c r="P9" s="32">
        <f t="shared" si="9"/>
        <v>2.3853580145924602</v>
      </c>
      <c r="Q9" s="32">
        <f t="shared" si="10"/>
        <v>-0.90000000000000036</v>
      </c>
      <c r="R9" s="32">
        <f t="shared" si="5"/>
        <v>8.7920000000000016</v>
      </c>
      <c r="S9" s="32">
        <f t="shared" si="6"/>
        <v>-0.79200000000000159</v>
      </c>
    </row>
    <row r="10" spans="1:19" ht="12" customHeight="1" x14ac:dyDescent="0.3">
      <c r="A10" s="33">
        <v>39448</v>
      </c>
      <c r="B10" s="8">
        <v>7.4</v>
      </c>
      <c r="C10" s="8">
        <v>1989014.9</v>
      </c>
      <c r="D10" s="8">
        <v>2012887</v>
      </c>
      <c r="E10" s="8">
        <v>93.204999999999899</v>
      </c>
      <c r="F10" s="8">
        <v>64375116</v>
      </c>
      <c r="G10" s="3"/>
      <c r="H10" s="32">
        <f t="shared" si="0"/>
        <v>98.814036754174467</v>
      </c>
      <c r="I10" s="32">
        <f t="shared" si="1"/>
        <v>117.21221827762491</v>
      </c>
      <c r="J10" s="32">
        <f t="shared" si="2"/>
        <v>31268.091229536582</v>
      </c>
      <c r="K10" s="32">
        <f t="shared" si="3"/>
        <v>108.83217045931019</v>
      </c>
      <c r="L10" s="32">
        <f t="shared" si="7"/>
        <v>0.26076734325979184</v>
      </c>
      <c r="M10" s="32">
        <f t="array" ref="M10">TREND($D$2:$D$26,$A$2:$A$26,A10)</f>
        <v>1959473.589258359</v>
      </c>
      <c r="N10" s="32">
        <f t="shared" si="4"/>
        <v>2.7259061328740537</v>
      </c>
      <c r="O10" s="32">
        <f t="shared" si="8"/>
        <v>2.8128619491477553</v>
      </c>
      <c r="P10" s="32">
        <f t="shared" si="9"/>
        <v>2.299450711956232</v>
      </c>
      <c r="Q10" s="32">
        <f t="shared" si="10"/>
        <v>-0.59999999999999964</v>
      </c>
      <c r="R10" s="32">
        <f t="shared" si="5"/>
        <v>8.7920000000000016</v>
      </c>
      <c r="S10" s="32">
        <f t="shared" si="6"/>
        <v>-1.3920000000000012</v>
      </c>
    </row>
    <row r="11" spans="1:19" ht="12" customHeight="1" x14ac:dyDescent="0.3">
      <c r="A11" s="33">
        <v>39814</v>
      </c>
      <c r="B11" s="8">
        <v>9.1</v>
      </c>
      <c r="C11" s="8">
        <v>1936988.9</v>
      </c>
      <c r="D11" s="8">
        <v>1958036.5</v>
      </c>
      <c r="E11" s="8">
        <v>93.286666666666605</v>
      </c>
      <c r="F11" s="8">
        <v>64706436</v>
      </c>
      <c r="G11" s="3"/>
      <c r="H11" s="32">
        <f t="shared" si="0"/>
        <v>98.925066003621481</v>
      </c>
      <c r="I11" s="32">
        <f t="shared" si="1"/>
        <v>117.34392005855467</v>
      </c>
      <c r="J11" s="32">
        <f t="shared" si="2"/>
        <v>30260.305172734286</v>
      </c>
      <c r="K11" s="32">
        <f t="shared" si="3"/>
        <v>105.3244557377663</v>
      </c>
      <c r="L11" s="32">
        <f t="shared" si="7"/>
        <v>-2.7249666772153627</v>
      </c>
      <c r="M11" s="32">
        <f t="array" ref="M11">TREND($D$2:$D$26,$A$2:$A$26,A11)</f>
        <v>1982104.8824725158</v>
      </c>
      <c r="N11" s="32">
        <f t="shared" si="4"/>
        <v>-1.2142840010813374</v>
      </c>
      <c r="O11" s="32">
        <f t="shared" si="8"/>
        <v>8.7620478157508896E-2</v>
      </c>
      <c r="P11" s="32">
        <f t="shared" si="9"/>
        <v>0.11236181932656841</v>
      </c>
      <c r="Q11" s="32">
        <f t="shared" si="10"/>
        <v>1.6999999999999993</v>
      </c>
      <c r="R11" s="32">
        <f t="shared" si="5"/>
        <v>8.7920000000000016</v>
      </c>
      <c r="S11" s="32">
        <f t="shared" si="6"/>
        <v>0.30799999999999805</v>
      </c>
    </row>
    <row r="12" spans="1:19" ht="12" customHeight="1" x14ac:dyDescent="0.3">
      <c r="A12" s="33">
        <v>40179</v>
      </c>
      <c r="B12" s="8">
        <v>9.3000000000000007</v>
      </c>
      <c r="C12" s="8">
        <v>1993991.5</v>
      </c>
      <c r="D12" s="8">
        <v>1993991.5</v>
      </c>
      <c r="E12" s="8">
        <v>94.715000000000003</v>
      </c>
      <c r="F12" s="8">
        <v>65026211</v>
      </c>
      <c r="G12" s="3"/>
      <c r="H12" s="32">
        <f t="shared" si="0"/>
        <v>100</v>
      </c>
      <c r="I12" s="32">
        <f t="shared" si="1"/>
        <v>118.61899597242514</v>
      </c>
      <c r="J12" s="32">
        <f t="shared" si="2"/>
        <v>30664.426995446498</v>
      </c>
      <c r="K12" s="32">
        <f t="shared" si="3"/>
        <v>106.73104799736022</v>
      </c>
      <c r="L12" s="32">
        <f t="shared" si="7"/>
        <v>1.8362783329115673</v>
      </c>
      <c r="M12" s="32">
        <f t="array" ref="M12">TREND($D$2:$D$26,$A$2:$A$26,A12)</f>
        <v>2004674.3415522079</v>
      </c>
      <c r="N12" s="32">
        <f t="shared" si="4"/>
        <v>-0.53289660723328658</v>
      </c>
      <c r="O12" s="32">
        <f t="shared" si="8"/>
        <v>1.5311227042093183</v>
      </c>
      <c r="P12" s="32">
        <f t="shared" si="9"/>
        <v>1.0866143837995188</v>
      </c>
      <c r="Q12" s="32">
        <f t="shared" si="10"/>
        <v>0.20000000000000107</v>
      </c>
      <c r="R12" s="32">
        <f t="shared" si="5"/>
        <v>8.7920000000000016</v>
      </c>
      <c r="S12" s="32">
        <f t="shared" si="6"/>
        <v>0.50799999999999912</v>
      </c>
    </row>
    <row r="13" spans="1:19" ht="12" customHeight="1" x14ac:dyDescent="0.3">
      <c r="A13" s="33">
        <v>40544</v>
      </c>
      <c r="B13" s="8">
        <v>9.1999999999999993</v>
      </c>
      <c r="C13" s="8">
        <v>2060977.1</v>
      </c>
      <c r="D13" s="8">
        <v>2043487.9</v>
      </c>
      <c r="E13" s="8">
        <v>96.715000000000003</v>
      </c>
      <c r="F13" s="8">
        <v>65340830</v>
      </c>
      <c r="G13" s="3"/>
      <c r="H13" s="32">
        <f t="shared" si="0"/>
        <v>100.85585043102043</v>
      </c>
      <c r="I13" s="32">
        <f t="shared" si="1"/>
        <v>119.63419716072725</v>
      </c>
      <c r="J13" s="32">
        <f t="shared" si="2"/>
        <v>31274.287455485337</v>
      </c>
      <c r="K13" s="32">
        <f t="shared" si="3"/>
        <v>108.85373713294273</v>
      </c>
      <c r="L13" s="32">
        <f t="shared" si="7"/>
        <v>2.4822773818243409</v>
      </c>
      <c r="M13" s="32">
        <f t="array" ref="M13">TREND($D$2:$D$26,$A$2:$A$26,A13)</f>
        <v>2027243.8006319001</v>
      </c>
      <c r="N13" s="32">
        <f t="shared" si="4"/>
        <v>0.80128987756857217</v>
      </c>
      <c r="O13" s="32">
        <f t="shared" si="8"/>
        <v>2.1115979517499865</v>
      </c>
      <c r="P13" s="32">
        <f t="shared" si="9"/>
        <v>0.85585043102042835</v>
      </c>
      <c r="Q13" s="32">
        <f t="shared" si="10"/>
        <v>-0.10000000000000142</v>
      </c>
      <c r="R13" s="32">
        <f t="shared" si="5"/>
        <v>8.7920000000000016</v>
      </c>
      <c r="S13" s="32">
        <f t="shared" si="6"/>
        <v>0.4079999999999977</v>
      </c>
    </row>
    <row r="14" spans="1:19" ht="12" customHeight="1" x14ac:dyDescent="0.3">
      <c r="A14" s="33">
        <v>40909</v>
      </c>
      <c r="B14" s="8">
        <v>9.8000000000000007</v>
      </c>
      <c r="C14" s="8">
        <v>2087960</v>
      </c>
      <c r="D14" s="8">
        <v>2048137.5</v>
      </c>
      <c r="E14" s="8">
        <v>98.605000000000004</v>
      </c>
      <c r="F14" s="8">
        <v>65657659</v>
      </c>
      <c r="G14" s="3"/>
      <c r="H14" s="32">
        <f t="shared" si="0"/>
        <v>101.9443274682486</v>
      </c>
      <c r="I14" s="32">
        <f t="shared" si="1"/>
        <v>120.9253376936777</v>
      </c>
      <c r="J14" s="32">
        <f t="shared" si="2"/>
        <v>31194.190155332832</v>
      </c>
      <c r="K14" s="32">
        <f t="shared" si="3"/>
        <v>108.57494931185265</v>
      </c>
      <c r="L14" s="32">
        <f t="shared" si="7"/>
        <v>0.22753254374543119</v>
      </c>
      <c r="M14" s="32">
        <f t="array" ref="M14">TREND($D$2:$D$26,$A$2:$A$26,A14)</f>
        <v>2049813.2597115918</v>
      </c>
      <c r="N14" s="32">
        <f t="shared" si="4"/>
        <v>-8.1751823179616795E-2</v>
      </c>
      <c r="O14" s="32">
        <f t="shared" si="8"/>
        <v>1.9541953161350365</v>
      </c>
      <c r="P14" s="32">
        <f t="shared" si="9"/>
        <v>1.0792403540066613</v>
      </c>
      <c r="Q14" s="32">
        <f t="shared" si="10"/>
        <v>0.60000000000000142</v>
      </c>
      <c r="R14" s="32">
        <f t="shared" si="5"/>
        <v>8.7920000000000016</v>
      </c>
      <c r="S14" s="32">
        <f t="shared" si="6"/>
        <v>1.0079999999999991</v>
      </c>
    </row>
    <row r="15" spans="1:19" ht="12" customHeight="1" x14ac:dyDescent="0.3">
      <c r="A15" s="33">
        <v>41275</v>
      </c>
      <c r="B15" s="8">
        <v>10.3</v>
      </c>
      <c r="C15" s="8">
        <v>2123158.6</v>
      </c>
      <c r="D15" s="8">
        <v>2067197.7</v>
      </c>
      <c r="E15" s="8">
        <v>99.456666666666607</v>
      </c>
      <c r="F15" s="8">
        <v>65997932</v>
      </c>
      <c r="G15" s="3"/>
      <c r="H15" s="32">
        <f t="shared" si="0"/>
        <v>102.70708989275677</v>
      </c>
      <c r="I15" s="32">
        <f t="shared" si="1"/>
        <v>121.83011882328422</v>
      </c>
      <c r="J15" s="32">
        <f t="shared" si="2"/>
        <v>31322.158700366552</v>
      </c>
      <c r="K15" s="32">
        <f t="shared" si="3"/>
        <v>109.02035848007792</v>
      </c>
      <c r="L15" s="32">
        <f t="shared" si="7"/>
        <v>0.93061134811505353</v>
      </c>
      <c r="M15" s="32">
        <f t="array" ref="M15">TREND($D$2:$D$26,$A$2:$A$26,A15)</f>
        <v>2072444.5529257485</v>
      </c>
      <c r="N15" s="32">
        <f t="shared" si="4"/>
        <v>-0.25317217381480162</v>
      </c>
      <c r="O15" s="32">
        <f t="shared" si="8"/>
        <v>0.86371549786177437</v>
      </c>
      <c r="P15" s="32">
        <f t="shared" si="9"/>
        <v>0.7482146809450837</v>
      </c>
      <c r="Q15" s="32">
        <f t="shared" si="10"/>
        <v>0.5</v>
      </c>
      <c r="R15" s="32">
        <f t="shared" si="5"/>
        <v>8.7920000000000016</v>
      </c>
      <c r="S15" s="32">
        <f t="shared" si="6"/>
        <v>1.5079999999999991</v>
      </c>
    </row>
    <row r="16" spans="1:19" ht="12" customHeight="1" x14ac:dyDescent="0.3">
      <c r="A16" s="33">
        <v>41640</v>
      </c>
      <c r="B16" s="8">
        <v>10.3</v>
      </c>
      <c r="C16" s="8">
        <v>2156505</v>
      </c>
      <c r="D16" s="8">
        <v>2087822.9</v>
      </c>
      <c r="E16" s="8">
        <v>99.961666666666602</v>
      </c>
      <c r="F16" s="8">
        <v>66312067</v>
      </c>
      <c r="G16" s="3"/>
      <c r="H16" s="32">
        <f t="shared" si="0"/>
        <v>103.28965162706089</v>
      </c>
      <c r="I16" s="32">
        <f t="shared" si="1"/>
        <v>122.52114770343532</v>
      </c>
      <c r="J16" s="32">
        <f t="shared" si="2"/>
        <v>31484.811052564535</v>
      </c>
      <c r="K16" s="32">
        <f t="shared" si="3"/>
        <v>109.58648860903499</v>
      </c>
      <c r="L16" s="32">
        <f t="shared" si="7"/>
        <v>0.99773717820990004</v>
      </c>
      <c r="M16" s="32">
        <f t="array" ref="M16">TREND($D$2:$D$26,$A$2:$A$26,A16)</f>
        <v>2095014.0120054407</v>
      </c>
      <c r="N16" s="32">
        <f t="shared" si="4"/>
        <v>-0.3432488739565564</v>
      </c>
      <c r="O16" s="32">
        <f t="shared" si="8"/>
        <v>0.50775882293795871</v>
      </c>
      <c r="P16" s="32">
        <f t="shared" si="9"/>
        <v>0.56720693275645584</v>
      </c>
      <c r="Q16" s="32">
        <f t="shared" si="10"/>
        <v>0</v>
      </c>
      <c r="R16" s="32">
        <f t="shared" si="5"/>
        <v>8.7920000000000016</v>
      </c>
      <c r="S16" s="32">
        <f t="shared" si="6"/>
        <v>1.5079999999999991</v>
      </c>
    </row>
    <row r="17" spans="1:19" ht="12" customHeight="1" x14ac:dyDescent="0.3">
      <c r="A17" s="33">
        <v>42005</v>
      </c>
      <c r="B17" s="8">
        <v>10.3</v>
      </c>
      <c r="C17" s="8">
        <v>2202773.1</v>
      </c>
      <c r="D17" s="8">
        <v>2108652.2000000002</v>
      </c>
      <c r="E17" s="8">
        <v>99.999166666666596</v>
      </c>
      <c r="F17" s="8">
        <v>66548272</v>
      </c>
      <c r="G17" s="3"/>
      <c r="H17" s="32">
        <f t="shared" si="0"/>
        <v>104.46355733771553</v>
      </c>
      <c r="I17" s="32">
        <f t="shared" si="1"/>
        <v>123.91362287107681</v>
      </c>
      <c r="J17" s="32">
        <f t="shared" si="2"/>
        <v>31686.054898615552</v>
      </c>
      <c r="K17" s="32">
        <f t="shared" si="3"/>
        <v>110.28694084951658</v>
      </c>
      <c r="L17" s="32">
        <f t="shared" si="7"/>
        <v>0.99765645831359928</v>
      </c>
      <c r="M17" s="32">
        <f t="array" ref="M17">TREND($D$2:$D$26,$A$2:$A$26,A17)</f>
        <v>2117583.471085133</v>
      </c>
      <c r="N17" s="32">
        <f t="shared" si="4"/>
        <v>-0.42176713253981485</v>
      </c>
      <c r="O17" s="32">
        <f t="shared" si="8"/>
        <v>3.7514380512524141E-2</v>
      </c>
      <c r="P17" s="32">
        <f t="shared" si="9"/>
        <v>1.1365182205214108</v>
      </c>
      <c r="Q17" s="32">
        <f t="shared" si="10"/>
        <v>0</v>
      </c>
      <c r="R17" s="32">
        <f t="shared" si="5"/>
        <v>8.7920000000000016</v>
      </c>
      <c r="S17" s="32">
        <f t="shared" si="6"/>
        <v>1.5079999999999991</v>
      </c>
    </row>
    <row r="18" spans="1:19" ht="12" customHeight="1" x14ac:dyDescent="0.3">
      <c r="A18" s="33">
        <v>42370</v>
      </c>
      <c r="B18" s="8">
        <v>10.1</v>
      </c>
      <c r="C18" s="8">
        <v>2230619.5</v>
      </c>
      <c r="D18" s="8">
        <v>2124205</v>
      </c>
      <c r="E18" s="8">
        <v>100.1825</v>
      </c>
      <c r="F18" s="8">
        <v>66724104</v>
      </c>
      <c r="G18" s="3"/>
      <c r="H18" s="32">
        <f t="shared" si="0"/>
        <v>105.00961536198248</v>
      </c>
      <c r="I18" s="32">
        <f t="shared" si="1"/>
        <v>124.56135141688914</v>
      </c>
      <c r="J18" s="32">
        <f t="shared" si="2"/>
        <v>31835.646680246165</v>
      </c>
      <c r="K18" s="32">
        <f t="shared" si="3"/>
        <v>110.80761216770551</v>
      </c>
      <c r="L18" s="32">
        <f t="shared" si="7"/>
        <v>0.73757066243545577</v>
      </c>
      <c r="M18" s="32">
        <f t="array" ref="M18">TREND($D$2:$D$26,$A$2:$A$26,A18)</f>
        <v>2140152.9301648242</v>
      </c>
      <c r="N18" s="32">
        <f t="shared" si="4"/>
        <v>-0.7451771291688023</v>
      </c>
      <c r="O18" s="32">
        <f t="shared" si="8"/>
        <v>0.18333486112391767</v>
      </c>
      <c r="P18" s="32">
        <f t="shared" si="9"/>
        <v>0.52272585596681209</v>
      </c>
      <c r="Q18" s="32">
        <f t="shared" si="10"/>
        <v>-0.20000000000000107</v>
      </c>
      <c r="R18" s="32">
        <f t="shared" si="5"/>
        <v>8.7920000000000016</v>
      </c>
      <c r="S18" s="32">
        <f t="shared" si="6"/>
        <v>1.3079999999999981</v>
      </c>
    </row>
    <row r="19" spans="1:19" ht="12" customHeight="1" x14ac:dyDescent="0.3">
      <c r="A19" s="33">
        <v>42736</v>
      </c>
      <c r="B19" s="8">
        <v>9.4</v>
      </c>
      <c r="C19" s="8">
        <v>2294481.7000000002</v>
      </c>
      <c r="D19" s="8">
        <v>2172411.2999999998</v>
      </c>
      <c r="E19" s="8">
        <v>101.216666666666</v>
      </c>
      <c r="F19" s="8">
        <v>66918020</v>
      </c>
      <c r="G19" s="3"/>
      <c r="H19" s="32">
        <f t="shared" si="0"/>
        <v>105.61912009940293</v>
      </c>
      <c r="I19" s="32">
        <f t="shared" si="1"/>
        <v>125.28433981682163</v>
      </c>
      <c r="J19" s="32">
        <f t="shared" si="2"/>
        <v>32463.771342905839</v>
      </c>
      <c r="K19" s="32">
        <f t="shared" si="3"/>
        <v>112.99387195102415</v>
      </c>
      <c r="L19" s="32">
        <f t="shared" si="7"/>
        <v>2.2693807801036066</v>
      </c>
      <c r="M19" s="32">
        <f t="array" ref="M19">TREND($D$2:$D$26,$A$2:$A$26,A19)</f>
        <v>2162784.2233789815</v>
      </c>
      <c r="N19" s="32">
        <f t="shared" si="4"/>
        <v>0.44512423000652768</v>
      </c>
      <c r="O19" s="32">
        <f t="shared" si="8"/>
        <v>1.032282750646067</v>
      </c>
      <c r="P19" s="32">
        <f t="shared" si="9"/>
        <v>0.5804275497242849</v>
      </c>
      <c r="Q19" s="32">
        <f t="shared" si="10"/>
        <v>-0.69999999999999929</v>
      </c>
      <c r="R19" s="32">
        <f t="shared" si="5"/>
        <v>8.7920000000000016</v>
      </c>
      <c r="S19" s="32">
        <f t="shared" si="6"/>
        <v>0.60799999999999876</v>
      </c>
    </row>
    <row r="20" spans="1:19" ht="12" customHeight="1" x14ac:dyDescent="0.3">
      <c r="A20" s="33">
        <v>43101</v>
      </c>
      <c r="B20" s="8">
        <v>9</v>
      </c>
      <c r="C20" s="8">
        <v>2356831.2999999998</v>
      </c>
      <c r="D20" s="8">
        <v>2206838.4</v>
      </c>
      <c r="E20" s="8">
        <v>103.09</v>
      </c>
      <c r="F20" s="8">
        <v>67158348</v>
      </c>
      <c r="G20" s="3"/>
      <c r="H20" s="32">
        <f t="shared" si="0"/>
        <v>106.79673237514808</v>
      </c>
      <c r="I20" s="32">
        <f t="shared" si="1"/>
        <v>126.68121167475857</v>
      </c>
      <c r="J20" s="32">
        <f t="shared" si="2"/>
        <v>32860.224614220708</v>
      </c>
      <c r="K20" s="32">
        <f t="shared" si="3"/>
        <v>114.37377293973987</v>
      </c>
      <c r="L20" s="32">
        <f t="shared" si="7"/>
        <v>1.5847413424888785</v>
      </c>
      <c r="M20" s="32">
        <f t="array" ref="M20">TREND($D$2:$D$26,$A$2:$A$26,A20)</f>
        <v>2185353.6824586736</v>
      </c>
      <c r="N20" s="32">
        <f t="shared" si="4"/>
        <v>0.98312313076730518</v>
      </c>
      <c r="O20" s="32">
        <f t="shared" si="8"/>
        <v>1.8508150831556218</v>
      </c>
      <c r="P20" s="32">
        <f t="shared" si="9"/>
        <v>1.1149612632985801</v>
      </c>
      <c r="Q20" s="32">
        <f t="shared" si="10"/>
        <v>-0.40000000000000036</v>
      </c>
      <c r="R20" s="32">
        <f t="shared" si="5"/>
        <v>8.7920000000000016</v>
      </c>
      <c r="S20" s="32">
        <f t="shared" si="6"/>
        <v>0.20799999999999841</v>
      </c>
    </row>
    <row r="21" spans="1:19" ht="12" customHeight="1" x14ac:dyDescent="0.3">
      <c r="A21" s="33">
        <v>43466</v>
      </c>
      <c r="B21" s="8">
        <v>8.4</v>
      </c>
      <c r="C21" s="8">
        <v>2435493.2999999998</v>
      </c>
      <c r="D21" s="8">
        <v>2253224</v>
      </c>
      <c r="E21" s="8">
        <v>104.2325</v>
      </c>
      <c r="F21" s="8">
        <v>67382061</v>
      </c>
      <c r="G21" s="3"/>
      <c r="H21" s="32">
        <f t="shared" si="0"/>
        <v>108.08926675732195</v>
      </c>
      <c r="I21" s="32">
        <f t="shared" si="1"/>
        <v>128.21440298149162</v>
      </c>
      <c r="J21" s="32">
        <f t="shared" si="2"/>
        <v>33439.523317637912</v>
      </c>
      <c r="K21" s="32">
        <f t="shared" si="3"/>
        <v>116.3900883833127</v>
      </c>
      <c r="L21" s="32">
        <f t="shared" si="7"/>
        <v>2.101902885141028</v>
      </c>
      <c r="M21" s="32">
        <f t="array" ref="M21">TREND($D$2:$D$26,$A$2:$A$26,A21)</f>
        <v>2207923.1415383657</v>
      </c>
      <c r="N21" s="32">
        <f t="shared" si="4"/>
        <v>2.0517407336050191</v>
      </c>
      <c r="O21" s="32">
        <f t="shared" si="8"/>
        <v>1.1082549228829162</v>
      </c>
      <c r="P21" s="32">
        <f t="shared" si="9"/>
        <v>1.2102752148198177</v>
      </c>
      <c r="Q21" s="32">
        <f t="shared" si="10"/>
        <v>-0.59999999999999964</v>
      </c>
      <c r="R21" s="32">
        <f t="shared" si="5"/>
        <v>8.7920000000000016</v>
      </c>
      <c r="S21" s="32">
        <f t="shared" si="6"/>
        <v>-0.39200000000000124</v>
      </c>
    </row>
    <row r="22" spans="1:19" ht="12" customHeight="1" x14ac:dyDescent="0.3">
      <c r="A22" s="33">
        <v>43831</v>
      </c>
      <c r="B22" s="8">
        <v>8</v>
      </c>
      <c r="C22" s="8">
        <v>2317315.7000000002</v>
      </c>
      <c r="D22" s="8">
        <v>2081819.6</v>
      </c>
      <c r="E22" s="8">
        <v>104.729166666666</v>
      </c>
      <c r="F22" s="8">
        <v>67601110</v>
      </c>
      <c r="G22" s="3"/>
      <c r="H22" s="32">
        <f t="shared" si="0"/>
        <v>111.31203203197819</v>
      </c>
      <c r="I22" s="32">
        <f t="shared" si="1"/>
        <v>132.03721479283678</v>
      </c>
      <c r="J22" s="32">
        <f t="shared" si="2"/>
        <v>30795.642260903704</v>
      </c>
      <c r="K22" s="32">
        <f t="shared" si="3"/>
        <v>107.18775774763792</v>
      </c>
      <c r="L22" s="32">
        <f t="shared" si="7"/>
        <v>-7.6070732426070338</v>
      </c>
      <c r="M22" s="32">
        <f t="array" ref="M22">TREND($D$2:$D$26,$A$2:$A$26,A22)</f>
        <v>2230492.6006180579</v>
      </c>
      <c r="N22" s="32">
        <f t="shared" si="4"/>
        <v>-6.6654783152771397</v>
      </c>
      <c r="O22" s="32">
        <f t="shared" si="8"/>
        <v>0.47649885272443987</v>
      </c>
      <c r="P22" s="32">
        <f t="shared" si="9"/>
        <v>2.9815775158248359</v>
      </c>
      <c r="Q22" s="32">
        <f t="shared" si="10"/>
        <v>-0.40000000000000036</v>
      </c>
      <c r="R22" s="32">
        <f t="shared" si="5"/>
        <v>8.7920000000000016</v>
      </c>
      <c r="S22" s="32">
        <f t="shared" si="6"/>
        <v>-0.79200000000000159</v>
      </c>
    </row>
    <row r="23" spans="1:19" ht="12" customHeight="1" x14ac:dyDescent="0.3">
      <c r="A23" s="33">
        <v>44197</v>
      </c>
      <c r="B23" s="8">
        <v>7.9</v>
      </c>
      <c r="C23" s="8">
        <v>2504726.1</v>
      </c>
      <c r="D23" s="8">
        <v>2223170.2999999998</v>
      </c>
      <c r="E23" s="8">
        <v>106.449166666666</v>
      </c>
      <c r="F23" s="8">
        <v>67842811</v>
      </c>
      <c r="G23" s="3"/>
      <c r="H23" s="32">
        <f t="shared" si="0"/>
        <v>112.66460783503631</v>
      </c>
      <c r="I23" s="32">
        <f t="shared" si="1"/>
        <v>133.6416266301903</v>
      </c>
      <c r="J23" s="32">
        <f t="shared" si="2"/>
        <v>32769.430794959248</v>
      </c>
      <c r="K23" s="32">
        <f t="shared" si="3"/>
        <v>114.05775465957122</v>
      </c>
      <c r="L23" s="32">
        <f t="shared" si="7"/>
        <v>6.7897669903770579</v>
      </c>
      <c r="M23" s="32">
        <f t="array" ref="M23">TREND($D$2:$D$26,$A$2:$A$26,A23)</f>
        <v>2253123.8938322142</v>
      </c>
      <c r="N23" s="32">
        <f t="shared" si="4"/>
        <v>-1.3294250668687353</v>
      </c>
      <c r="O23" s="32">
        <f t="shared" si="8"/>
        <v>1.6423314103839362</v>
      </c>
      <c r="P23" s="32">
        <f t="shared" si="9"/>
        <v>1.2151209337994497</v>
      </c>
      <c r="Q23" s="32">
        <f t="shared" si="10"/>
        <v>-9.9999999999999645E-2</v>
      </c>
      <c r="R23" s="32">
        <f t="shared" si="5"/>
        <v>8.7920000000000016</v>
      </c>
      <c r="S23" s="32">
        <f t="shared" si="6"/>
        <v>-0.89200000000000124</v>
      </c>
    </row>
    <row r="24" spans="1:19" ht="12" customHeight="1" x14ac:dyDescent="0.3">
      <c r="A24" s="33">
        <v>44562</v>
      </c>
      <c r="B24" s="8">
        <v>7.3</v>
      </c>
      <c r="C24" s="8">
        <v>2652544.1</v>
      </c>
      <c r="D24" s="8">
        <v>2285416.7999999998</v>
      </c>
      <c r="E24" s="8">
        <v>112.008333333333</v>
      </c>
      <c r="F24" s="8">
        <v>68184457</v>
      </c>
      <c r="G24" s="3"/>
      <c r="H24" s="32">
        <f t="shared" si="0"/>
        <v>116.06391009289861</v>
      </c>
      <c r="I24" s="32">
        <f t="shared" si="1"/>
        <v>137.67384483853454</v>
      </c>
      <c r="J24" s="32">
        <f t="shared" si="2"/>
        <v>33518.149158245848</v>
      </c>
      <c r="K24" s="32">
        <f t="shared" si="3"/>
        <v>116.66375462103515</v>
      </c>
      <c r="L24" s="32">
        <f t="shared" si="7"/>
        <v>2.7998979655314757</v>
      </c>
      <c r="M24" s="32">
        <f t="array" ref="M24">TREND($D$2:$D$26,$A$2:$A$26,A24)</f>
        <v>2275693.3529119063</v>
      </c>
      <c r="N24" s="32">
        <f t="shared" si="4"/>
        <v>0.42727404707895622</v>
      </c>
      <c r="O24" s="32">
        <f t="shared" si="8"/>
        <v>5.2223674836975684</v>
      </c>
      <c r="P24" s="32">
        <f t="shared" si="9"/>
        <v>3.0171873165702281</v>
      </c>
      <c r="Q24" s="32">
        <f t="shared" si="10"/>
        <v>-0.60000000000000053</v>
      </c>
      <c r="R24" s="32">
        <f t="shared" si="5"/>
        <v>8.7920000000000016</v>
      </c>
      <c r="S24" s="32">
        <f t="shared" si="6"/>
        <v>-1.4920000000000018</v>
      </c>
    </row>
    <row r="25" spans="1:19" ht="12" customHeight="1" x14ac:dyDescent="0.3">
      <c r="A25" s="33">
        <v>44927</v>
      </c>
      <c r="B25" s="8">
        <v>7.3</v>
      </c>
      <c r="C25" s="8">
        <v>2837670.7</v>
      </c>
      <c r="D25" s="8">
        <v>2326988.9</v>
      </c>
      <c r="E25" s="8">
        <v>117.472499999999</v>
      </c>
      <c r="F25" s="8">
        <v>68372286</v>
      </c>
      <c r="G25" s="3"/>
      <c r="H25" s="32">
        <f t="shared" si="0"/>
        <v>121.9460350670345</v>
      </c>
      <c r="I25" s="32">
        <f t="shared" si="1"/>
        <v>144.65116242469779</v>
      </c>
      <c r="J25" s="32">
        <f t="shared" si="2"/>
        <v>34034.09533506017</v>
      </c>
      <c r="K25" s="32">
        <f t="shared" si="3"/>
        <v>118.45956434445834</v>
      </c>
      <c r="L25" s="32">
        <f t="shared" si="7"/>
        <v>1.8190161199480155</v>
      </c>
      <c r="M25" s="32">
        <f t="array" ref="M25">TREND($D$2:$D$26,$A$2:$A$26,A25)</f>
        <v>2298262.8119915985</v>
      </c>
      <c r="N25" s="32">
        <f t="shared" si="4"/>
        <v>1.2499043999023058</v>
      </c>
      <c r="O25" s="32">
        <f t="shared" si="8"/>
        <v>4.8783572650838654</v>
      </c>
      <c r="P25" s="32">
        <f t="shared" si="9"/>
        <v>5.0680051787224683</v>
      </c>
      <c r="Q25" s="32">
        <f t="shared" si="10"/>
        <v>0</v>
      </c>
      <c r="R25" s="32">
        <f t="shared" si="5"/>
        <v>8.7920000000000016</v>
      </c>
      <c r="S25" s="32">
        <f t="shared" si="6"/>
        <v>-1.4920000000000018</v>
      </c>
    </row>
    <row r="26" spans="1:19" ht="12" customHeight="1" x14ac:dyDescent="0.3">
      <c r="A26" s="33">
        <v>45292</v>
      </c>
      <c r="B26" s="8">
        <v>7.5</v>
      </c>
      <c r="C26" s="8">
        <v>2936861.9</v>
      </c>
      <c r="D26" s="8">
        <v>2360180.7999999998</v>
      </c>
      <c r="E26" s="8">
        <v>119.820833333333</v>
      </c>
      <c r="F26" s="8">
        <v>68551653</v>
      </c>
      <c r="G26" s="3"/>
      <c r="H26" s="32">
        <f t="shared" si="0"/>
        <v>124.43376795540411</v>
      </c>
      <c r="I26" s="32">
        <f t="shared" si="1"/>
        <v>147.60208619935764</v>
      </c>
      <c r="J26" s="32">
        <f t="shared" si="2"/>
        <v>34429.23250880617</v>
      </c>
      <c r="K26" s="32">
        <f t="shared" si="3"/>
        <v>119.83488450494555</v>
      </c>
      <c r="L26" s="32">
        <f t="shared" si="7"/>
        <v>1.4263884112210379</v>
      </c>
      <c r="M26" s="32">
        <f t="array" ref="M26">TREND($D$2:$D$26,$A$2:$A$26,A26)</f>
        <v>2320832.2710712906</v>
      </c>
      <c r="N26" s="32">
        <f t="shared" si="4"/>
        <v>1.6954490602005472</v>
      </c>
      <c r="O26" s="32">
        <f t="shared" si="8"/>
        <v>1.999049422915165</v>
      </c>
      <c r="P26" s="32">
        <f t="shared" si="9"/>
        <v>2.0400276950391083</v>
      </c>
      <c r="Q26" s="32">
        <f t="shared" si="10"/>
        <v>0.20000000000000018</v>
      </c>
      <c r="R26" s="32">
        <f t="shared" si="5"/>
        <v>8.7920000000000016</v>
      </c>
      <c r="S26" s="32">
        <f t="shared" si="6"/>
        <v>-1.2920000000000016</v>
      </c>
    </row>
    <row r="27" spans="1:19" ht="12" customHeight="1" x14ac:dyDescent="0.3">
      <c r="A27" s="49" t="s">
        <v>18</v>
      </c>
      <c r="B27" s="14" t="s">
        <v>135</v>
      </c>
      <c r="C27" s="14" t="s">
        <v>136</v>
      </c>
      <c r="D27" s="14" t="s">
        <v>137</v>
      </c>
      <c r="E27" s="14" t="s">
        <v>138</v>
      </c>
      <c r="F27" s="14" t="s">
        <v>139</v>
      </c>
      <c r="G27" s="25"/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</row>
    <row r="28" spans="1:19" ht="36.75" customHeight="1" x14ac:dyDescent="0.3">
      <c r="A28" s="51"/>
      <c r="B28" s="15"/>
      <c r="C28" s="15"/>
      <c r="D28" s="15"/>
      <c r="E28" s="15"/>
      <c r="F28" s="15"/>
      <c r="G28" s="24"/>
      <c r="H28" s="7" t="s">
        <v>25</v>
      </c>
      <c r="I28" s="7" t="s">
        <v>26</v>
      </c>
      <c r="J28" s="7" t="s">
        <v>82</v>
      </c>
      <c r="K28" s="7" t="s">
        <v>28</v>
      </c>
      <c r="L28" s="7" t="s">
        <v>29</v>
      </c>
      <c r="M28" s="7" t="s">
        <v>30</v>
      </c>
      <c r="N28" s="7" t="s">
        <v>31</v>
      </c>
      <c r="O28" s="7" t="s">
        <v>32</v>
      </c>
      <c r="P28" s="7" t="s">
        <v>33</v>
      </c>
      <c r="Q28" s="7" t="s">
        <v>34</v>
      </c>
      <c r="R28" s="7" t="s">
        <v>35</v>
      </c>
      <c r="S28" s="7" t="s">
        <v>36</v>
      </c>
    </row>
    <row r="29" spans="1:19" ht="12" customHeight="1" x14ac:dyDescent="0.3">
      <c r="A29" s="51" t="s">
        <v>37</v>
      </c>
      <c r="B29" s="15" t="s">
        <v>38</v>
      </c>
      <c r="C29" s="15" t="s">
        <v>38</v>
      </c>
      <c r="D29" s="15" t="s">
        <v>38</v>
      </c>
      <c r="E29" s="15" t="s">
        <v>38</v>
      </c>
      <c r="F29" s="15" t="s">
        <v>38</v>
      </c>
      <c r="G29" s="24" t="s">
        <v>39</v>
      </c>
      <c r="H29" s="7" t="s">
        <v>38</v>
      </c>
      <c r="I29" s="7" t="s">
        <v>38</v>
      </c>
      <c r="J29" s="7" t="s">
        <v>38</v>
      </c>
      <c r="K29" s="7" t="s">
        <v>38</v>
      </c>
      <c r="L29" s="7" t="s">
        <v>40</v>
      </c>
      <c r="M29" s="7" t="s">
        <v>38</v>
      </c>
      <c r="N29" s="7" t="s">
        <v>38</v>
      </c>
      <c r="O29" s="7" t="s">
        <v>40</v>
      </c>
      <c r="P29" s="7" t="s">
        <v>40</v>
      </c>
      <c r="Q29" s="7" t="s">
        <v>40</v>
      </c>
      <c r="R29" s="7" t="s">
        <v>38</v>
      </c>
      <c r="S29" s="7" t="s">
        <v>38</v>
      </c>
    </row>
    <row r="30" spans="1:19" ht="24" customHeight="1" x14ac:dyDescent="0.3">
      <c r="A30" s="51" t="s">
        <v>41</v>
      </c>
      <c r="B30" s="15" t="s">
        <v>83</v>
      </c>
      <c r="C30" s="15" t="s">
        <v>84</v>
      </c>
      <c r="D30" s="15" t="s">
        <v>85</v>
      </c>
      <c r="E30" s="15" t="s">
        <v>86</v>
      </c>
      <c r="F30" s="15" t="s">
        <v>87</v>
      </c>
      <c r="G30" s="24" t="s">
        <v>47</v>
      </c>
      <c r="H30" s="7" t="s">
        <v>48</v>
      </c>
      <c r="I30" s="7" t="s">
        <v>49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54</v>
      </c>
      <c r="O30" s="7" t="s">
        <v>55</v>
      </c>
      <c r="P30" s="7" t="s">
        <v>49</v>
      </c>
      <c r="Q30" s="7" t="s">
        <v>56</v>
      </c>
      <c r="R30" s="7" t="s">
        <v>56</v>
      </c>
      <c r="S30" s="7" t="s">
        <v>57</v>
      </c>
    </row>
    <row r="31" spans="1:19" ht="48.75" customHeight="1" x14ac:dyDescent="0.3">
      <c r="A31" s="51" t="s">
        <v>58</v>
      </c>
      <c r="B31" s="15" t="s">
        <v>59</v>
      </c>
      <c r="C31" s="15" t="s">
        <v>88</v>
      </c>
      <c r="D31" s="15" t="s">
        <v>89</v>
      </c>
      <c r="E31" s="15" t="s">
        <v>59</v>
      </c>
      <c r="F31" s="15" t="s">
        <v>90</v>
      </c>
      <c r="G31" s="24" t="s">
        <v>61</v>
      </c>
      <c r="H31" s="7" t="s">
        <v>62</v>
      </c>
      <c r="I31" s="7" t="s">
        <v>63</v>
      </c>
      <c r="J31" s="7" t="s">
        <v>91</v>
      </c>
      <c r="K31" s="7" t="s">
        <v>65</v>
      </c>
      <c r="L31" s="7" t="s">
        <v>66</v>
      </c>
      <c r="M31" s="7" t="s">
        <v>67</v>
      </c>
      <c r="N31" s="7" t="s">
        <v>68</v>
      </c>
      <c r="O31" s="7" t="s">
        <v>69</v>
      </c>
      <c r="P31" s="7" t="s">
        <v>70</v>
      </c>
      <c r="Q31" s="7" t="s">
        <v>71</v>
      </c>
      <c r="R31" s="7" t="s">
        <v>72</v>
      </c>
      <c r="S31" s="7" t="s">
        <v>73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1"/>
  <sheetViews>
    <sheetView topLeftCell="G20" zoomScale="44" zoomScaleNormal="70" workbookViewId="0">
      <selection activeCell="H1" sqref="H1:H26"/>
    </sheetView>
  </sheetViews>
  <sheetFormatPr defaultColWidth="8.77734375" defaultRowHeight="14.25" customHeight="1" x14ac:dyDescent="0.3"/>
  <cols>
    <col min="1" max="1" width="23.77734375" style="1" customWidth="1"/>
    <col min="2" max="6" width="27.44140625" customWidth="1"/>
    <col min="7" max="7" width="27.44140625" style="1" customWidth="1"/>
    <col min="8" max="8" width="7.44140625" customWidth="1"/>
    <col min="9" max="9" width="17.6640625" customWidth="1"/>
    <col min="10" max="10" width="34.33203125" customWidth="1"/>
    <col min="11" max="11" width="37.88671875" customWidth="1"/>
    <col min="12" max="12" width="42" customWidth="1"/>
    <col min="13" max="13" width="23.77734375" customWidth="1"/>
    <col min="14" max="14" width="31.33203125" customWidth="1"/>
    <col min="15" max="15" width="27" customWidth="1"/>
    <col min="16" max="16" width="23.77734375" customWidth="1"/>
    <col min="17" max="17" width="34.21875" customWidth="1"/>
    <col min="18" max="18" width="39.109375" customWidth="1"/>
    <col min="19" max="19" width="36.21875" customWidth="1"/>
    <col min="20" max="20" width="27.21875" customWidth="1"/>
    <col min="21" max="16384" width="8.77734375" style="1"/>
  </cols>
  <sheetData>
    <row r="1" spans="1:20" ht="12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8" t="s">
        <v>129</v>
      </c>
      <c r="F1" s="38" t="s">
        <v>140</v>
      </c>
      <c r="G1" s="40" t="s">
        <v>141</v>
      </c>
      <c r="H1" s="31"/>
      <c r="I1" s="31" t="s">
        <v>6</v>
      </c>
      <c r="J1" s="31" t="s">
        <v>7</v>
      </c>
      <c r="K1" s="31" t="s">
        <v>142</v>
      </c>
      <c r="L1" s="31" t="s">
        <v>9</v>
      </c>
      <c r="M1" s="31" t="s">
        <v>10</v>
      </c>
      <c r="N1" s="31" t="s">
        <v>11</v>
      </c>
      <c r="O1" s="31" t="s">
        <v>12</v>
      </c>
      <c r="P1" s="31" t="s">
        <v>13</v>
      </c>
      <c r="Q1" s="31" t="s">
        <v>14</v>
      </c>
      <c r="R1" s="31" t="s">
        <v>15</v>
      </c>
      <c r="S1" s="31" t="s">
        <v>16</v>
      </c>
      <c r="T1" s="31" t="s">
        <v>17</v>
      </c>
    </row>
    <row r="2" spans="1:20" ht="12" customHeight="1" x14ac:dyDescent="0.3">
      <c r="A2" s="33">
        <v>36526</v>
      </c>
      <c r="B2" s="8">
        <v>4.7</v>
      </c>
      <c r="C2" s="8">
        <v>543737.30000000005</v>
      </c>
      <c r="D2" s="8">
        <v>500719.1</v>
      </c>
      <c r="E2" s="46">
        <f t="shared" ref="E2:E16" si="0">E3/(1+G3/100)</f>
        <v>99.105126355504439</v>
      </c>
      <c r="F2" s="8">
        <v>126843000</v>
      </c>
      <c r="G2" s="8">
        <v>-0.67657868359517503</v>
      </c>
      <c r="H2" s="3"/>
      <c r="I2" s="32">
        <f t="shared" ref="I2:I26" si="1">C2/D2*100</f>
        <v>108.59128401532917</v>
      </c>
      <c r="J2" s="32">
        <f t="shared" ref="J2:J26" si="2">I2/$I$2*100</f>
        <v>100</v>
      </c>
      <c r="K2" s="32">
        <f t="shared" ref="K2:K26" si="3">(D2*1000000000)/F2</f>
        <v>3947550.1210157438</v>
      </c>
      <c r="L2" s="32">
        <f t="shared" ref="L2:L26" si="4">K2/$K$2*100</f>
        <v>100</v>
      </c>
      <c r="M2" s="32"/>
      <c r="N2" s="32">
        <f t="array" ref="N2">TREND($D$2:$D$26,$A$2:$A$26,A2)</f>
        <v>502660.39061211573</v>
      </c>
      <c r="O2" s="32">
        <f t="shared" ref="O2:O26" si="5">(D2-N2)/N2*100</f>
        <v>-0.38620321958365306</v>
      </c>
      <c r="P2" s="32"/>
      <c r="Q2" s="32"/>
      <c r="R2" s="32"/>
      <c r="S2" s="32">
        <f t="shared" ref="S2:S26" si="6">AVERAGE($B$2:$B$26)</f>
        <v>3.8159999999999998</v>
      </c>
      <c r="T2" s="32">
        <f t="shared" ref="T2:T26" si="7">B2-S2</f>
        <v>0.88400000000000034</v>
      </c>
    </row>
    <row r="3" spans="1:20" ht="12" customHeight="1" x14ac:dyDescent="0.3">
      <c r="A3" s="33">
        <v>36892</v>
      </c>
      <c r="B3" s="8">
        <v>5</v>
      </c>
      <c r="C3" s="8">
        <v>539711.5</v>
      </c>
      <c r="D3" s="8">
        <v>502075.6</v>
      </c>
      <c r="E3" s="46">
        <f t="shared" si="0"/>
        <v>98.371693413003086</v>
      </c>
      <c r="F3" s="8">
        <v>127149000</v>
      </c>
      <c r="G3" s="8">
        <v>-0.74005550416273802</v>
      </c>
      <c r="H3" s="3"/>
      <c r="I3" s="32">
        <f t="shared" si="1"/>
        <v>107.49606234598934</v>
      </c>
      <c r="J3" s="32">
        <f t="shared" si="2"/>
        <v>98.9914276460851</v>
      </c>
      <c r="K3" s="32">
        <f t="shared" si="3"/>
        <v>3948718.4327049367</v>
      </c>
      <c r="L3" s="32">
        <f t="shared" si="4"/>
        <v>100.02959586714233</v>
      </c>
      <c r="M3" s="32">
        <f t="shared" ref="M3:M26" si="8">(D3-D2)/D2*100</f>
        <v>0.27091037669623547</v>
      </c>
      <c r="N3" s="32">
        <f t="array" ref="N3">TREND($D$2:$D$26,$A$2:$A$26,A3)</f>
        <v>506252.45842401474</v>
      </c>
      <c r="O3" s="32">
        <f t="shared" si="5"/>
        <v>-0.82505444754135071</v>
      </c>
      <c r="P3" s="32">
        <f t="shared" ref="P3:P26" si="9">(E3-E2)/E2*100</f>
        <v>-0.74005550416274324</v>
      </c>
      <c r="Q3" s="32">
        <f t="shared" ref="Q3:Q26" si="10">(I3-I2)/I2*100</f>
        <v>-1.0085723539149014</v>
      </c>
      <c r="R3" s="32">
        <f t="shared" ref="R3:R26" si="11">B3-B2</f>
        <v>0.29999999999999982</v>
      </c>
      <c r="S3" s="32">
        <f t="shared" si="6"/>
        <v>3.8159999999999998</v>
      </c>
      <c r="T3" s="32">
        <f t="shared" si="7"/>
        <v>1.1840000000000002</v>
      </c>
    </row>
    <row r="4" spans="1:20" ht="12" customHeight="1" x14ac:dyDescent="0.3">
      <c r="A4" s="33">
        <v>37257</v>
      </c>
      <c r="B4" s="8">
        <v>5.4</v>
      </c>
      <c r="C4" s="8">
        <v>532463.19999999995</v>
      </c>
      <c r="D4" s="8">
        <v>502338.3</v>
      </c>
      <c r="E4" s="46">
        <f t="shared" si="0"/>
        <v>97.463236700132001</v>
      </c>
      <c r="F4" s="8">
        <v>127445000</v>
      </c>
      <c r="G4" s="8">
        <v>-0.92349402694231997</v>
      </c>
      <c r="H4" s="3"/>
      <c r="I4" s="32">
        <f t="shared" si="1"/>
        <v>105.99693473501821</v>
      </c>
      <c r="J4" s="32">
        <f t="shared" si="2"/>
        <v>97.610904683708583</v>
      </c>
      <c r="K4" s="32">
        <f t="shared" si="3"/>
        <v>3941608.5370159675</v>
      </c>
      <c r="L4" s="32">
        <f t="shared" si="4"/>
        <v>99.849486800227197</v>
      </c>
      <c r="M4" s="32">
        <f t="shared" si="8"/>
        <v>5.2322797602594444E-2</v>
      </c>
      <c r="N4" s="32">
        <f t="array" ref="N4">TREND($D$2:$D$26,$A$2:$A$26,A4)</f>
        <v>509834.71184298507</v>
      </c>
      <c r="O4" s="32">
        <f t="shared" si="5"/>
        <v>-1.4703612109670881</v>
      </c>
      <c r="P4" s="32">
        <f t="shared" si="9"/>
        <v>-0.92349402694231064</v>
      </c>
      <c r="Q4" s="32">
        <f t="shared" si="10"/>
        <v>-1.3945883953832672</v>
      </c>
      <c r="R4" s="32">
        <f t="shared" si="11"/>
        <v>0.40000000000000036</v>
      </c>
      <c r="S4" s="32">
        <f t="shared" si="6"/>
        <v>3.8159999999999998</v>
      </c>
      <c r="T4" s="32">
        <f t="shared" si="7"/>
        <v>1.5840000000000005</v>
      </c>
    </row>
    <row r="5" spans="1:20" ht="12" customHeight="1" x14ac:dyDescent="0.3">
      <c r="A5" s="33">
        <v>37622</v>
      </c>
      <c r="B5" s="8">
        <v>5.2</v>
      </c>
      <c r="C5" s="8">
        <v>530387.4</v>
      </c>
      <c r="D5" s="8">
        <v>509455.1</v>
      </c>
      <c r="E5" s="46">
        <f t="shared" si="0"/>
        <v>97.213202742461092</v>
      </c>
      <c r="F5" s="8">
        <v>127718000</v>
      </c>
      <c r="G5" s="8">
        <v>-0.25654181631602502</v>
      </c>
      <c r="H5" s="3"/>
      <c r="I5" s="32">
        <f t="shared" si="1"/>
        <v>104.10876247975534</v>
      </c>
      <c r="J5" s="32">
        <f t="shared" si="2"/>
        <v>95.87211664709568</v>
      </c>
      <c r="K5" s="32">
        <f t="shared" si="3"/>
        <v>3988906.0273414869</v>
      </c>
      <c r="L5" s="32">
        <f t="shared" si="4"/>
        <v>101.04763473693659</v>
      </c>
      <c r="M5" s="32">
        <f t="shared" si="8"/>
        <v>1.4167344994399169</v>
      </c>
      <c r="N5" s="32">
        <f t="array" ref="N5">TREND($D$2:$D$26,$A$2:$A$26,A5)</f>
        <v>513416.96526195534</v>
      </c>
      <c r="O5" s="32">
        <f t="shared" si="5"/>
        <v>-0.77166621479559805</v>
      </c>
      <c r="P5" s="32">
        <f t="shared" si="9"/>
        <v>-0.25654181631602785</v>
      </c>
      <c r="Q5" s="32">
        <f t="shared" si="10"/>
        <v>-1.7813460926800533</v>
      </c>
      <c r="R5" s="32">
        <f t="shared" si="11"/>
        <v>-0.20000000000000018</v>
      </c>
      <c r="S5" s="32">
        <f t="shared" si="6"/>
        <v>3.8159999999999998</v>
      </c>
      <c r="T5" s="32">
        <f t="shared" si="7"/>
        <v>1.3840000000000003</v>
      </c>
    </row>
    <row r="6" spans="1:20" ht="12" customHeight="1" x14ac:dyDescent="0.3">
      <c r="A6" s="33">
        <v>37987</v>
      </c>
      <c r="B6" s="8">
        <v>4.7</v>
      </c>
      <c r="C6" s="8">
        <v>534603.69999999995</v>
      </c>
      <c r="D6" s="8">
        <v>520164.7</v>
      </c>
      <c r="E6" s="46">
        <f t="shared" si="0"/>
        <v>97.204868277205307</v>
      </c>
      <c r="F6" s="8">
        <v>127761000</v>
      </c>
      <c r="G6" s="8">
        <v>-8.5733882031027008E-3</v>
      </c>
      <c r="H6" s="3"/>
      <c r="I6" s="32">
        <f t="shared" si="1"/>
        <v>102.77585157162721</v>
      </c>
      <c r="J6" s="32">
        <f t="shared" si="2"/>
        <v>94.644660023652534</v>
      </c>
      <c r="K6" s="32">
        <f t="shared" si="3"/>
        <v>4071388.7649595728</v>
      </c>
      <c r="L6" s="32">
        <f t="shared" si="4"/>
        <v>103.13710124374467</v>
      </c>
      <c r="M6" s="32">
        <f t="shared" si="8"/>
        <v>2.1021675904314305</v>
      </c>
      <c r="N6" s="32">
        <f t="array" ref="N6">TREND($D$2:$D$26,$A$2:$A$26,A6)</f>
        <v>516999.21868092567</v>
      </c>
      <c r="O6" s="32">
        <f t="shared" si="5"/>
        <v>0.61227971043182017</v>
      </c>
      <c r="P6" s="32">
        <f t="shared" si="9"/>
        <v>-8.5733882031078928E-3</v>
      </c>
      <c r="Q6" s="32">
        <f t="shared" si="10"/>
        <v>-1.2803061686448545</v>
      </c>
      <c r="R6" s="32">
        <f t="shared" si="11"/>
        <v>-0.5</v>
      </c>
      <c r="S6" s="32">
        <f t="shared" si="6"/>
        <v>3.8159999999999998</v>
      </c>
      <c r="T6" s="32">
        <f t="shared" si="7"/>
        <v>0.88400000000000034</v>
      </c>
    </row>
    <row r="7" spans="1:20" ht="12" customHeight="1" x14ac:dyDescent="0.3">
      <c r="A7" s="33">
        <v>38353</v>
      </c>
      <c r="B7" s="8">
        <v>4.4000000000000004</v>
      </c>
      <c r="C7" s="8">
        <v>537485.5</v>
      </c>
      <c r="D7" s="8">
        <v>529762</v>
      </c>
      <c r="E7" s="46">
        <f t="shared" si="0"/>
        <v>96.929830923767355</v>
      </c>
      <c r="F7" s="8">
        <v>127773000</v>
      </c>
      <c r="G7" s="8">
        <v>-0.28294606876438999</v>
      </c>
      <c r="H7" s="3"/>
      <c r="I7" s="32">
        <f t="shared" si="1"/>
        <v>101.45791883902582</v>
      </c>
      <c r="J7" s="32">
        <f t="shared" si="2"/>
        <v>93.430996565712988</v>
      </c>
      <c r="K7" s="32">
        <f t="shared" si="3"/>
        <v>4146118.5070398282</v>
      </c>
      <c r="L7" s="32">
        <f t="shared" si="4"/>
        <v>105.03016757069041</v>
      </c>
      <c r="M7" s="32">
        <f t="shared" si="8"/>
        <v>1.8450502312056138</v>
      </c>
      <c r="N7" s="32">
        <f t="array" ref="N7">TREND($D$2:$D$26,$A$2:$A$26,A7)</f>
        <v>520591.28649282467</v>
      </c>
      <c r="O7" s="32">
        <f t="shared" si="5"/>
        <v>1.7615956596118958</v>
      </c>
      <c r="P7" s="32">
        <f t="shared" si="9"/>
        <v>-0.28294606876438583</v>
      </c>
      <c r="Q7" s="32">
        <f t="shared" si="10"/>
        <v>-1.2823369618911789</v>
      </c>
      <c r="R7" s="32">
        <f t="shared" si="11"/>
        <v>-0.29999999999999982</v>
      </c>
      <c r="S7" s="32">
        <f t="shared" si="6"/>
        <v>3.8159999999999998</v>
      </c>
      <c r="T7" s="32">
        <f t="shared" si="7"/>
        <v>0.58400000000000052</v>
      </c>
    </row>
    <row r="8" spans="1:20" ht="12" customHeight="1" x14ac:dyDescent="0.3">
      <c r="A8" s="33">
        <v>38718</v>
      </c>
      <c r="B8" s="8">
        <v>4.0999999999999996</v>
      </c>
      <c r="C8" s="8">
        <v>540568.1</v>
      </c>
      <c r="D8" s="8">
        <v>537815.5</v>
      </c>
      <c r="E8" s="46">
        <f t="shared" si="0"/>
        <v>97.171530416182577</v>
      </c>
      <c r="F8" s="8">
        <v>127854000</v>
      </c>
      <c r="G8" s="8">
        <v>0.249355116079085</v>
      </c>
      <c r="H8" s="3"/>
      <c r="I8" s="32">
        <f t="shared" si="1"/>
        <v>100.51181120663126</v>
      </c>
      <c r="J8" s="32">
        <f t="shared" si="2"/>
        <v>92.55974097556728</v>
      </c>
      <c r="K8" s="32">
        <f t="shared" si="3"/>
        <v>4206481.6118385037</v>
      </c>
      <c r="L8" s="32">
        <f t="shared" si="4"/>
        <v>106.5592958388109</v>
      </c>
      <c r="M8" s="32">
        <f t="shared" si="8"/>
        <v>1.5202109626587035</v>
      </c>
      <c r="N8" s="32">
        <f t="array" ref="N8">TREND($D$2:$D$26,$A$2:$A$26,A8)</f>
        <v>524173.539911795</v>
      </c>
      <c r="O8" s="32">
        <f t="shared" si="5"/>
        <v>2.6025655721768395</v>
      </c>
      <c r="P8" s="32">
        <f t="shared" si="9"/>
        <v>0.24935511607908617</v>
      </c>
      <c r="Q8" s="32">
        <f t="shared" si="10"/>
        <v>-0.93251235903592866</v>
      </c>
      <c r="R8" s="32">
        <f t="shared" si="11"/>
        <v>-0.30000000000000071</v>
      </c>
      <c r="S8" s="32">
        <f t="shared" si="6"/>
        <v>3.8159999999999998</v>
      </c>
      <c r="T8" s="32">
        <f t="shared" si="7"/>
        <v>0.28399999999999981</v>
      </c>
    </row>
    <row r="9" spans="1:20" ht="12" customHeight="1" x14ac:dyDescent="0.3">
      <c r="A9" s="33">
        <v>39083</v>
      </c>
      <c r="B9" s="8">
        <v>3.8</v>
      </c>
      <c r="C9" s="8">
        <v>544628.1</v>
      </c>
      <c r="D9" s="8">
        <v>547072.80000000005</v>
      </c>
      <c r="E9" s="46">
        <f t="shared" si="0"/>
        <v>97.22987167297245</v>
      </c>
      <c r="F9" s="8">
        <v>128001000</v>
      </c>
      <c r="G9" s="8">
        <v>6.0039454498669001E-2</v>
      </c>
      <c r="H9" s="3"/>
      <c r="I9" s="32">
        <f t="shared" si="1"/>
        <v>99.553130771626726</v>
      </c>
      <c r="J9" s="32">
        <f t="shared" si="2"/>
        <v>91.676907289882877</v>
      </c>
      <c r="K9" s="32">
        <f t="shared" si="3"/>
        <v>4273972.8595870351</v>
      </c>
      <c r="L9" s="32">
        <f t="shared" si="4"/>
        <v>108.26899541651163</v>
      </c>
      <c r="M9" s="32">
        <f t="shared" si="8"/>
        <v>1.7212780219238839</v>
      </c>
      <c r="N9" s="32">
        <f t="array" ref="N9">TREND($D$2:$D$26,$A$2:$A$26,A9)</f>
        <v>527755.79333076533</v>
      </c>
      <c r="O9" s="32">
        <f t="shared" si="5"/>
        <v>3.6602168869282288</v>
      </c>
      <c r="P9" s="32">
        <f t="shared" si="9"/>
        <v>6.0039454498657774E-2</v>
      </c>
      <c r="Q9" s="32">
        <f t="shared" si="10"/>
        <v>-0.95379878592943856</v>
      </c>
      <c r="R9" s="32">
        <f t="shared" si="11"/>
        <v>-0.29999999999999982</v>
      </c>
      <c r="S9" s="32">
        <f t="shared" si="6"/>
        <v>3.8159999999999998</v>
      </c>
      <c r="T9" s="32">
        <f t="shared" si="7"/>
        <v>-1.6000000000000014E-2</v>
      </c>
    </row>
    <row r="10" spans="1:20" ht="12" customHeight="1" x14ac:dyDescent="0.3">
      <c r="A10" s="33">
        <v>39448</v>
      </c>
      <c r="B10" s="8">
        <v>4</v>
      </c>
      <c r="C10" s="8">
        <v>533458.9</v>
      </c>
      <c r="D10" s="8">
        <v>540731.30000000005</v>
      </c>
      <c r="E10" s="46">
        <f t="shared" si="0"/>
        <v>98.571720579139779</v>
      </c>
      <c r="F10" s="8">
        <v>128063000</v>
      </c>
      <c r="G10" s="8">
        <v>1.3800788616491899</v>
      </c>
      <c r="H10" s="3"/>
      <c r="I10" s="32">
        <f t="shared" si="1"/>
        <v>98.655080628770691</v>
      </c>
      <c r="J10" s="32">
        <f t="shared" si="2"/>
        <v>90.849907083559444</v>
      </c>
      <c r="K10" s="32">
        <f t="shared" si="3"/>
        <v>4222385.0760953594</v>
      </c>
      <c r="L10" s="32">
        <f t="shared" si="4"/>
        <v>106.96216505564971</v>
      </c>
      <c r="M10" s="32">
        <f t="shared" si="8"/>
        <v>-1.1591693098249445</v>
      </c>
      <c r="N10" s="32">
        <f t="array" ref="N10">TREND($D$2:$D$26,$A$2:$A$26,A10)</f>
        <v>531338.04674973572</v>
      </c>
      <c r="O10" s="32">
        <f t="shared" si="5"/>
        <v>1.7678487937621046</v>
      </c>
      <c r="P10" s="32">
        <f t="shared" si="9"/>
        <v>1.3800788616491921</v>
      </c>
      <c r="Q10" s="32">
        <f t="shared" si="10"/>
        <v>-0.90208126645072406</v>
      </c>
      <c r="R10" s="32">
        <f t="shared" si="11"/>
        <v>0.20000000000000018</v>
      </c>
      <c r="S10" s="32">
        <f t="shared" si="6"/>
        <v>3.8159999999999998</v>
      </c>
      <c r="T10" s="32">
        <f t="shared" si="7"/>
        <v>0.18400000000000016</v>
      </c>
    </row>
    <row r="11" spans="1:20" ht="12" customHeight="1" x14ac:dyDescent="0.3">
      <c r="A11" s="33">
        <v>39814</v>
      </c>
      <c r="B11" s="8">
        <v>5.0999999999999996</v>
      </c>
      <c r="C11" s="8">
        <v>499514.1</v>
      </c>
      <c r="D11" s="8">
        <v>508634.2</v>
      </c>
      <c r="E11" s="46">
        <f t="shared" si="0"/>
        <v>97.238206138228136</v>
      </c>
      <c r="F11" s="8">
        <v>128047000</v>
      </c>
      <c r="G11" s="8">
        <v>-1.3528367295171799</v>
      </c>
      <c r="H11" s="3"/>
      <c r="I11" s="32">
        <f t="shared" si="1"/>
        <v>98.206943221670898</v>
      </c>
      <c r="J11" s="32">
        <f t="shared" si="2"/>
        <v>90.437224416471238</v>
      </c>
      <c r="K11" s="32">
        <f t="shared" si="3"/>
        <v>3972246.1283747372</v>
      </c>
      <c r="L11" s="32">
        <f t="shared" si="4"/>
        <v>100.6256033894926</v>
      </c>
      <c r="M11" s="32">
        <f t="shared" si="8"/>
        <v>-5.9358687022556369</v>
      </c>
      <c r="N11" s="32">
        <f t="array" ref="N11">TREND($D$2:$D$26,$A$2:$A$26,A11)</f>
        <v>534930.1145616346</v>
      </c>
      <c r="O11" s="32">
        <f t="shared" si="5"/>
        <v>-4.9157663488778551</v>
      </c>
      <c r="P11" s="32">
        <f t="shared" si="9"/>
        <v>-1.3528367295171746</v>
      </c>
      <c r="Q11" s="32">
        <f t="shared" si="10"/>
        <v>-0.45424665840180062</v>
      </c>
      <c r="R11" s="32">
        <f t="shared" si="11"/>
        <v>1.0999999999999996</v>
      </c>
      <c r="S11" s="32">
        <f t="shared" si="6"/>
        <v>3.8159999999999998</v>
      </c>
      <c r="T11" s="32">
        <f t="shared" si="7"/>
        <v>1.2839999999999998</v>
      </c>
    </row>
    <row r="12" spans="1:20" ht="12" customHeight="1" x14ac:dyDescent="0.3">
      <c r="A12" s="33">
        <v>40179</v>
      </c>
      <c r="B12" s="8">
        <v>5.0999999999999996</v>
      </c>
      <c r="C12" s="8">
        <v>510315.6</v>
      </c>
      <c r="D12" s="8">
        <v>529650.19999999995</v>
      </c>
      <c r="E12" s="46">
        <f t="shared" si="0"/>
        <v>96.530075506914358</v>
      </c>
      <c r="F12" s="8">
        <v>128070000</v>
      </c>
      <c r="G12" s="8">
        <v>-0.72824320751777905</v>
      </c>
      <c r="H12" s="3"/>
      <c r="I12" s="32">
        <f t="shared" si="1"/>
        <v>96.349552969110562</v>
      </c>
      <c r="J12" s="32">
        <f t="shared" si="2"/>
        <v>88.726783040441333</v>
      </c>
      <c r="K12" s="32">
        <f t="shared" si="3"/>
        <v>4135630.5145623484</v>
      </c>
      <c r="L12" s="32">
        <f t="shared" si="4"/>
        <v>104.76448399085075</v>
      </c>
      <c r="M12" s="32">
        <f t="shared" si="8"/>
        <v>4.1318495689043209</v>
      </c>
      <c r="N12" s="32">
        <f t="array" ref="N12">TREND($D$2:$D$26,$A$2:$A$26,A12)</f>
        <v>538512.36798060499</v>
      </c>
      <c r="O12" s="32">
        <f t="shared" si="5"/>
        <v>-1.6456758484188088</v>
      </c>
      <c r="P12" s="32">
        <f t="shared" si="9"/>
        <v>-0.72824320751777527</v>
      </c>
      <c r="Q12" s="32">
        <f t="shared" si="10"/>
        <v>-1.8913023780486364</v>
      </c>
      <c r="R12" s="32">
        <f t="shared" si="11"/>
        <v>0</v>
      </c>
      <c r="S12" s="32">
        <f t="shared" si="6"/>
        <v>3.8159999999999998</v>
      </c>
      <c r="T12" s="32">
        <f t="shared" si="7"/>
        <v>1.2839999999999998</v>
      </c>
    </row>
    <row r="13" spans="1:20" ht="12" customHeight="1" x14ac:dyDescent="0.3">
      <c r="A13" s="33">
        <v>40544</v>
      </c>
      <c r="B13" s="8">
        <v>4.5999999999999996</v>
      </c>
      <c r="C13" s="8">
        <v>501412.3</v>
      </c>
      <c r="D13" s="8">
        <v>528667.5</v>
      </c>
      <c r="E13" s="46">
        <f t="shared" si="0"/>
        <v>96.267073894969002</v>
      </c>
      <c r="F13" s="8">
        <v>127833000</v>
      </c>
      <c r="G13" s="8">
        <v>-0.27245561610123897</v>
      </c>
      <c r="H13" s="3"/>
      <c r="I13" s="32">
        <f t="shared" si="1"/>
        <v>94.844547849073379</v>
      </c>
      <c r="J13" s="32">
        <f t="shared" si="2"/>
        <v>87.340847572706437</v>
      </c>
      <c r="K13" s="32">
        <f t="shared" si="3"/>
        <v>4135610.5231043627</v>
      </c>
      <c r="L13" s="32">
        <f t="shared" si="4"/>
        <v>104.76397756389295</v>
      </c>
      <c r="M13" s="32">
        <f t="shared" si="8"/>
        <v>-0.18553754912203441</v>
      </c>
      <c r="N13" s="32">
        <f t="array" ref="N13">TREND($D$2:$D$26,$A$2:$A$26,A13)</f>
        <v>542094.62139957538</v>
      </c>
      <c r="O13" s="32">
        <f t="shared" si="5"/>
        <v>-2.4768962593484782</v>
      </c>
      <c r="P13" s="32">
        <f t="shared" si="9"/>
        <v>-0.27245561610124008</v>
      </c>
      <c r="Q13" s="32">
        <f t="shared" si="10"/>
        <v>-1.562026053737565</v>
      </c>
      <c r="R13" s="32">
        <f t="shared" si="11"/>
        <v>-0.5</v>
      </c>
      <c r="S13" s="32">
        <f t="shared" si="6"/>
        <v>3.8159999999999998</v>
      </c>
      <c r="T13" s="32">
        <f t="shared" si="7"/>
        <v>0.78399999999999981</v>
      </c>
    </row>
    <row r="14" spans="1:20" ht="12" customHeight="1" x14ac:dyDescent="0.3">
      <c r="A14" s="33">
        <v>40909</v>
      </c>
      <c r="B14" s="8">
        <v>4.3</v>
      </c>
      <c r="C14" s="8">
        <v>505530</v>
      </c>
      <c r="D14" s="8">
        <v>537424</v>
      </c>
      <c r="E14" s="46">
        <f t="shared" si="0"/>
        <v>96.224654280139134</v>
      </c>
      <c r="F14" s="8">
        <v>127629000</v>
      </c>
      <c r="G14" s="8">
        <v>-4.4064510443260201E-2</v>
      </c>
      <c r="H14" s="3"/>
      <c r="I14" s="32">
        <f t="shared" si="1"/>
        <v>94.065393432373696</v>
      </c>
      <c r="J14" s="32">
        <f t="shared" si="2"/>
        <v>86.623336564558045</v>
      </c>
      <c r="K14" s="32">
        <f t="shared" si="3"/>
        <v>4210829.8270769184</v>
      </c>
      <c r="L14" s="32">
        <f t="shared" si="4"/>
        <v>106.6694455545869</v>
      </c>
      <c r="M14" s="32">
        <f t="shared" si="8"/>
        <v>1.6563340852236992</v>
      </c>
      <c r="N14" s="32">
        <f t="array" ref="N14">TREND($D$2:$D$26,$A$2:$A$26,A14)</f>
        <v>545676.87481854553</v>
      </c>
      <c r="O14" s="32">
        <f t="shared" si="5"/>
        <v>-1.5124105857133621</v>
      </c>
      <c r="P14" s="32">
        <f t="shared" si="9"/>
        <v>-4.4064510443258167E-2</v>
      </c>
      <c r="Q14" s="32">
        <f t="shared" si="10"/>
        <v>-0.82150680705395451</v>
      </c>
      <c r="R14" s="32">
        <f t="shared" si="11"/>
        <v>-0.29999999999999982</v>
      </c>
      <c r="S14" s="32">
        <f t="shared" si="6"/>
        <v>3.8159999999999998</v>
      </c>
      <c r="T14" s="32">
        <f t="shared" si="7"/>
        <v>0.48399999999999999</v>
      </c>
    </row>
    <row r="15" spans="1:20" ht="12" customHeight="1" x14ac:dyDescent="0.3">
      <c r="A15" s="33">
        <v>41275</v>
      </c>
      <c r="B15" s="8">
        <v>4</v>
      </c>
      <c r="C15" s="8">
        <v>514818.4</v>
      </c>
      <c r="D15" s="8">
        <v>548287.6</v>
      </c>
      <c r="E15" s="46">
        <f t="shared" si="0"/>
        <v>96.547043352846302</v>
      </c>
      <c r="F15" s="8">
        <v>127445000</v>
      </c>
      <c r="G15" s="8">
        <v>0.33503791218473999</v>
      </c>
      <c r="H15" s="3"/>
      <c r="I15" s="32">
        <f t="shared" si="1"/>
        <v>93.895685403062203</v>
      </c>
      <c r="J15" s="32">
        <f t="shared" si="2"/>
        <v>86.467055118169071</v>
      </c>
      <c r="K15" s="32">
        <f t="shared" si="3"/>
        <v>4302150.7316881791</v>
      </c>
      <c r="L15" s="32">
        <f t="shared" si="4"/>
        <v>108.98280198608833</v>
      </c>
      <c r="M15" s="32">
        <f t="shared" si="8"/>
        <v>2.0214207032064024</v>
      </c>
      <c r="N15" s="32">
        <f t="array" ref="N15">TREND($D$2:$D$26,$A$2:$A$26,A15)</f>
        <v>549268.94263044465</v>
      </c>
      <c r="O15" s="32">
        <f t="shared" si="5"/>
        <v>-0.17866341136002237</v>
      </c>
      <c r="P15" s="32">
        <f t="shared" si="9"/>
        <v>0.33503791218474566</v>
      </c>
      <c r="Q15" s="32">
        <f t="shared" si="10"/>
        <v>-0.18041494658022306</v>
      </c>
      <c r="R15" s="32">
        <f t="shared" si="11"/>
        <v>-0.29999999999999982</v>
      </c>
      <c r="S15" s="32">
        <f t="shared" si="6"/>
        <v>3.8159999999999998</v>
      </c>
      <c r="T15" s="32">
        <f t="shared" si="7"/>
        <v>0.18400000000000016</v>
      </c>
    </row>
    <row r="16" spans="1:20" ht="12" customHeight="1" x14ac:dyDescent="0.3">
      <c r="A16" s="33">
        <v>41640</v>
      </c>
      <c r="B16" s="8">
        <v>3.6</v>
      </c>
      <c r="C16" s="8">
        <v>528094.1</v>
      </c>
      <c r="D16" s="8">
        <v>552778.6</v>
      </c>
      <c r="E16" s="46">
        <f t="shared" si="0"/>
        <v>99.210995164163862</v>
      </c>
      <c r="F16" s="8">
        <v>127276000</v>
      </c>
      <c r="G16" s="8">
        <v>2.7592267135325201</v>
      </c>
      <c r="H16" s="3"/>
      <c r="I16" s="32">
        <f t="shared" si="1"/>
        <v>95.534468953754725</v>
      </c>
      <c r="J16" s="32">
        <f t="shared" si="2"/>
        <v>87.976185031819597</v>
      </c>
      <c r="K16" s="32">
        <f t="shared" si="3"/>
        <v>4343148.7476036334</v>
      </c>
      <c r="L16" s="32">
        <f t="shared" si="4"/>
        <v>110.02137058328465</v>
      </c>
      <c r="M16" s="32">
        <f t="shared" si="8"/>
        <v>0.81909567168763264</v>
      </c>
      <c r="N16" s="32">
        <f t="array" ref="N16">TREND($D$2:$D$26,$A$2:$A$26,A16)</f>
        <v>552851.19604941492</v>
      </c>
      <c r="O16" s="32">
        <f t="shared" si="5"/>
        <v>-1.3131209615481929E-2</v>
      </c>
      <c r="P16" s="32">
        <f t="shared" si="9"/>
        <v>2.7592267135325215</v>
      </c>
      <c r="Q16" s="32">
        <f t="shared" si="10"/>
        <v>1.7453235935791758</v>
      </c>
      <c r="R16" s="32">
        <f t="shared" si="11"/>
        <v>-0.39999999999999991</v>
      </c>
      <c r="S16" s="32">
        <f t="shared" si="6"/>
        <v>3.8159999999999998</v>
      </c>
      <c r="T16" s="32">
        <f t="shared" si="7"/>
        <v>-0.21599999999999975</v>
      </c>
    </row>
    <row r="17" spans="1:20" ht="12" customHeight="1" x14ac:dyDescent="0.3">
      <c r="A17" s="33">
        <v>42005</v>
      </c>
      <c r="B17" s="8">
        <v>3.4</v>
      </c>
      <c r="C17" s="8">
        <v>548919.1</v>
      </c>
      <c r="D17" s="8">
        <v>563010.30000000005</v>
      </c>
      <c r="E17" s="46">
        <f>100</f>
        <v>100</v>
      </c>
      <c r="F17" s="8">
        <v>127141000</v>
      </c>
      <c r="G17" s="8">
        <v>0.79527963057983797</v>
      </c>
      <c r="H17" s="3"/>
      <c r="I17" s="32">
        <f t="shared" si="1"/>
        <v>97.49716834665368</v>
      </c>
      <c r="J17" s="32">
        <f t="shared" si="2"/>
        <v>89.783603933526194</v>
      </c>
      <c r="K17" s="32">
        <f t="shared" si="3"/>
        <v>4428235.5809691604</v>
      </c>
      <c r="L17" s="32">
        <f t="shared" si="4"/>
        <v>112.1768044791723</v>
      </c>
      <c r="M17" s="32">
        <f t="shared" si="8"/>
        <v>1.8509580508362786</v>
      </c>
      <c r="N17" s="32">
        <f t="array" ref="N17">TREND($D$2:$D$26,$A$2:$A$26,A17)</f>
        <v>556433.4494683852</v>
      </c>
      <c r="O17" s="32">
        <f t="shared" si="5"/>
        <v>1.1819653433664625</v>
      </c>
      <c r="P17" s="32">
        <f t="shared" si="9"/>
        <v>0.79527963057983286</v>
      </c>
      <c r="Q17" s="32">
        <f t="shared" si="10"/>
        <v>2.0544410979549559</v>
      </c>
      <c r="R17" s="32">
        <f t="shared" si="11"/>
        <v>-0.20000000000000018</v>
      </c>
      <c r="S17" s="32">
        <f t="shared" si="6"/>
        <v>3.8159999999999998</v>
      </c>
      <c r="T17" s="32">
        <f t="shared" si="7"/>
        <v>-0.41599999999999993</v>
      </c>
    </row>
    <row r="18" spans="1:20" ht="12" customHeight="1" x14ac:dyDescent="0.3">
      <c r="A18" s="33">
        <v>42370</v>
      </c>
      <c r="B18" s="8">
        <v>3.1</v>
      </c>
      <c r="C18" s="8">
        <v>555766.30000000005</v>
      </c>
      <c r="D18" s="8">
        <v>566785.5</v>
      </c>
      <c r="E18" s="46">
        <f t="shared" ref="E18:E26" si="12">E17*(1+G18/100)</f>
        <v>99.872741155510241</v>
      </c>
      <c r="F18" s="8">
        <v>127076000</v>
      </c>
      <c r="G18" s="8">
        <v>-0.127258844489754</v>
      </c>
      <c r="H18" s="3"/>
      <c r="I18" s="32">
        <f t="shared" si="1"/>
        <v>98.055842995277771</v>
      </c>
      <c r="J18" s="32">
        <f t="shared" si="2"/>
        <v>90.298078602179359</v>
      </c>
      <c r="K18" s="32">
        <f t="shared" si="3"/>
        <v>4460208.8513960149</v>
      </c>
      <c r="L18" s="32">
        <f t="shared" si="4"/>
        <v>112.98675671401885</v>
      </c>
      <c r="M18" s="32">
        <f t="shared" si="8"/>
        <v>0.67053835427166308</v>
      </c>
      <c r="N18" s="32">
        <f t="array" ref="N18">TREND($D$2:$D$26,$A$2:$A$26,A18)</f>
        <v>560015.70288735558</v>
      </c>
      <c r="O18" s="32">
        <f t="shared" si="5"/>
        <v>1.2088584441008305</v>
      </c>
      <c r="P18" s="32">
        <f t="shared" si="9"/>
        <v>-0.12725884448975933</v>
      </c>
      <c r="Q18" s="32">
        <f t="shared" si="10"/>
        <v>0.57301628149620631</v>
      </c>
      <c r="R18" s="32">
        <f t="shared" si="11"/>
        <v>-0.29999999999999982</v>
      </c>
      <c r="S18" s="32">
        <f t="shared" si="6"/>
        <v>3.8159999999999998</v>
      </c>
      <c r="T18" s="32">
        <f t="shared" si="7"/>
        <v>-0.71599999999999975</v>
      </c>
    </row>
    <row r="19" spans="1:20" ht="12" customHeight="1" x14ac:dyDescent="0.3">
      <c r="A19" s="33">
        <v>42736</v>
      </c>
      <c r="B19" s="8">
        <v>2.8</v>
      </c>
      <c r="C19" s="8">
        <v>565040.4</v>
      </c>
      <c r="D19" s="8">
        <v>575995.19999999995</v>
      </c>
      <c r="E19" s="46">
        <f t="shared" si="12"/>
        <v>100.35632476457106</v>
      </c>
      <c r="F19" s="8">
        <v>126972000</v>
      </c>
      <c r="G19" s="8">
        <v>0.48419979612638397</v>
      </c>
      <c r="H19" s="3"/>
      <c r="I19" s="32">
        <f t="shared" si="1"/>
        <v>98.098109150909607</v>
      </c>
      <c r="J19" s="32">
        <f t="shared" si="2"/>
        <v>90.337000837987787</v>
      </c>
      <c r="K19" s="32">
        <f t="shared" si="3"/>
        <v>4536395.42576316</v>
      </c>
      <c r="L19" s="32">
        <f t="shared" si="4"/>
        <v>114.91672776015065</v>
      </c>
      <c r="M19" s="32">
        <f t="shared" si="8"/>
        <v>1.6249004252931583</v>
      </c>
      <c r="N19" s="32">
        <f t="array" ref="N19">TREND($D$2:$D$26,$A$2:$A$26,A19)</f>
        <v>563607.77069925459</v>
      </c>
      <c r="O19" s="32">
        <f t="shared" si="5"/>
        <v>2.1978812118535167</v>
      </c>
      <c r="P19" s="32">
        <f t="shared" si="9"/>
        <v>0.48419979612638764</v>
      </c>
      <c r="Q19" s="32">
        <f t="shared" si="10"/>
        <v>4.3104168339944286E-2</v>
      </c>
      <c r="R19" s="32">
        <f t="shared" si="11"/>
        <v>-0.30000000000000027</v>
      </c>
      <c r="S19" s="32">
        <f t="shared" si="6"/>
        <v>3.8159999999999998</v>
      </c>
      <c r="T19" s="32">
        <f t="shared" si="7"/>
        <v>-1.016</v>
      </c>
    </row>
    <row r="20" spans="1:20" ht="12" customHeight="1" x14ac:dyDescent="0.3">
      <c r="A20" s="33">
        <v>43101</v>
      </c>
      <c r="B20" s="8">
        <v>2.4</v>
      </c>
      <c r="C20" s="8">
        <v>569196.6</v>
      </c>
      <c r="D20" s="8">
        <v>580909.6</v>
      </c>
      <c r="E20" s="46">
        <f t="shared" si="12"/>
        <v>101.3489437515907</v>
      </c>
      <c r="F20" s="8">
        <v>126811000</v>
      </c>
      <c r="G20" s="8">
        <v>0.98909459802184696</v>
      </c>
      <c r="H20" s="3"/>
      <c r="I20" s="32">
        <f t="shared" si="1"/>
        <v>97.983679388324802</v>
      </c>
      <c r="J20" s="32">
        <f t="shared" si="2"/>
        <v>90.231624275197859</v>
      </c>
      <c r="K20" s="32">
        <f t="shared" si="3"/>
        <v>4580908.5962574221</v>
      </c>
      <c r="L20" s="32">
        <f t="shared" si="4"/>
        <v>116.04434284114191</v>
      </c>
      <c r="M20" s="32">
        <f t="shared" si="8"/>
        <v>0.85320155445740231</v>
      </c>
      <c r="N20" s="32">
        <f t="array" ref="N20">TREND($D$2:$D$26,$A$2:$A$26,A20)</f>
        <v>567190.02411822486</v>
      </c>
      <c r="O20" s="32">
        <f t="shared" si="5"/>
        <v>2.4188676278473151</v>
      </c>
      <c r="P20" s="32">
        <f t="shared" si="9"/>
        <v>0.98909459802185318</v>
      </c>
      <c r="Q20" s="32">
        <f t="shared" si="10"/>
        <v>-0.11664828565530448</v>
      </c>
      <c r="R20" s="32">
        <f t="shared" si="11"/>
        <v>-0.39999999999999991</v>
      </c>
      <c r="S20" s="32">
        <f t="shared" si="6"/>
        <v>3.8159999999999998</v>
      </c>
      <c r="T20" s="32">
        <f t="shared" si="7"/>
        <v>-1.4159999999999999</v>
      </c>
    </row>
    <row r="21" spans="1:20" ht="12" customHeight="1" x14ac:dyDescent="0.3">
      <c r="A21" s="33">
        <v>43466</v>
      </c>
      <c r="B21" s="8">
        <v>2.4</v>
      </c>
      <c r="C21" s="8">
        <v>571848.80000000005</v>
      </c>
      <c r="D21" s="8">
        <v>579096.5</v>
      </c>
      <c r="E21" s="46">
        <f t="shared" si="12"/>
        <v>101.82404343768559</v>
      </c>
      <c r="F21" s="8">
        <v>126633000</v>
      </c>
      <c r="G21" s="8">
        <v>0.46877615938395001</v>
      </c>
      <c r="H21" s="3"/>
      <c r="I21" s="32">
        <f t="shared" si="1"/>
        <v>98.748446934146557</v>
      </c>
      <c r="J21" s="32">
        <f t="shared" si="2"/>
        <v>90.935886640963602</v>
      </c>
      <c r="K21" s="32">
        <f t="shared" si="3"/>
        <v>4573029.9369042823</v>
      </c>
      <c r="L21" s="32">
        <f t="shared" si="4"/>
        <v>115.8447593244895</v>
      </c>
      <c r="M21" s="32">
        <f t="shared" si="8"/>
        <v>-0.3121139674744533</v>
      </c>
      <c r="N21" s="32">
        <f t="array" ref="N21">TREND($D$2:$D$26,$A$2:$A$26,A21)</f>
        <v>570772.27753719524</v>
      </c>
      <c r="O21" s="32">
        <f t="shared" si="5"/>
        <v>1.4584139402710032</v>
      </c>
      <c r="P21" s="32">
        <f t="shared" si="9"/>
        <v>0.46877615938393663</v>
      </c>
      <c r="Q21" s="32">
        <f t="shared" si="10"/>
        <v>0.7805050296089211</v>
      </c>
      <c r="R21" s="32">
        <f t="shared" si="11"/>
        <v>0</v>
      </c>
      <c r="S21" s="32">
        <f t="shared" si="6"/>
        <v>3.8159999999999998</v>
      </c>
      <c r="T21" s="32">
        <f t="shared" si="7"/>
        <v>-1.4159999999999999</v>
      </c>
    </row>
    <row r="22" spans="1:20" ht="12" customHeight="1" x14ac:dyDescent="0.3">
      <c r="A22" s="33">
        <v>43831</v>
      </c>
      <c r="B22" s="8">
        <v>2.8</v>
      </c>
      <c r="C22" s="8">
        <v>553828.6</v>
      </c>
      <c r="D22" s="8">
        <v>554019.5</v>
      </c>
      <c r="E22" s="46">
        <f t="shared" si="12"/>
        <v>101.79859166878758</v>
      </c>
      <c r="F22" s="8">
        <v>126261000</v>
      </c>
      <c r="G22" s="8">
        <v>-2.4995834027731E-2</v>
      </c>
      <c r="H22" s="3"/>
      <c r="I22" s="32">
        <f t="shared" si="1"/>
        <v>99.965542729091666</v>
      </c>
      <c r="J22" s="32">
        <f t="shared" si="2"/>
        <v>92.056690954110223</v>
      </c>
      <c r="K22" s="32">
        <f t="shared" si="3"/>
        <v>4387890.9560355134</v>
      </c>
      <c r="L22" s="32">
        <f t="shared" si="4"/>
        <v>111.15478769162443</v>
      </c>
      <c r="M22" s="32">
        <f t="shared" si="8"/>
        <v>-4.3303663551756921</v>
      </c>
      <c r="N22" s="32">
        <f t="array" ref="N22">TREND($D$2:$D$26,$A$2:$A$26,A22)</f>
        <v>574354.53095616563</v>
      </c>
      <c r="O22" s="32">
        <f t="shared" si="5"/>
        <v>-3.5405015300066625</v>
      </c>
      <c r="P22" s="32">
        <f t="shared" si="9"/>
        <v>-2.49958340277311E-2</v>
      </c>
      <c r="Q22" s="32">
        <f t="shared" si="10"/>
        <v>1.2325214550024945</v>
      </c>
      <c r="R22" s="32">
        <f t="shared" si="11"/>
        <v>0.39999999999999991</v>
      </c>
      <c r="S22" s="32">
        <f t="shared" si="6"/>
        <v>3.8159999999999998</v>
      </c>
      <c r="T22" s="32">
        <f t="shared" si="7"/>
        <v>-1.016</v>
      </c>
    </row>
    <row r="23" spans="1:20" ht="12" customHeight="1" x14ac:dyDescent="0.3">
      <c r="A23" s="33">
        <v>44197</v>
      </c>
      <c r="B23" s="8">
        <v>2.8</v>
      </c>
      <c r="C23" s="8">
        <v>573724.1</v>
      </c>
      <c r="D23" s="8">
        <v>574267.80000000005</v>
      </c>
      <c r="E23" s="46">
        <f t="shared" si="12"/>
        <v>101.56104182574018</v>
      </c>
      <c r="F23" s="8">
        <v>125681593</v>
      </c>
      <c r="G23" s="8">
        <v>-0.23335277939826299</v>
      </c>
      <c r="H23" s="3"/>
      <c r="I23" s="32">
        <f t="shared" si="1"/>
        <v>99.905322917287009</v>
      </c>
      <c r="J23" s="32">
        <f t="shared" si="2"/>
        <v>92.001235479620988</v>
      </c>
      <c r="K23" s="32">
        <f t="shared" si="3"/>
        <v>4569227.5717733782</v>
      </c>
      <c r="L23" s="32">
        <f t="shared" si="4"/>
        <v>115.74843717494512</v>
      </c>
      <c r="M23" s="32">
        <f t="shared" si="8"/>
        <v>3.6547991541814047</v>
      </c>
      <c r="N23" s="32">
        <f t="array" ref="N23">TREND($D$2:$D$26,$A$2:$A$26,A23)</f>
        <v>577946.59876806452</v>
      </c>
      <c r="O23" s="32">
        <f t="shared" si="5"/>
        <v>-0.63652918382184476</v>
      </c>
      <c r="P23" s="32">
        <f t="shared" si="9"/>
        <v>-0.23335277939826252</v>
      </c>
      <c r="Q23" s="32">
        <f t="shared" si="10"/>
        <v>-6.0240569060735272E-2</v>
      </c>
      <c r="R23" s="32">
        <f t="shared" si="11"/>
        <v>0</v>
      </c>
      <c r="S23" s="32">
        <f t="shared" si="6"/>
        <v>3.8159999999999998</v>
      </c>
      <c r="T23" s="32">
        <f t="shared" si="7"/>
        <v>-1.016</v>
      </c>
    </row>
    <row r="24" spans="1:20" ht="12" customHeight="1" x14ac:dyDescent="0.3">
      <c r="A24" s="33">
        <v>44562</v>
      </c>
      <c r="B24" s="8">
        <v>2.6</v>
      </c>
      <c r="C24" s="8">
        <v>584979.80000000005</v>
      </c>
      <c r="D24" s="8">
        <v>581669.5</v>
      </c>
      <c r="E24" s="46">
        <f t="shared" si="12"/>
        <v>104.09773479256809</v>
      </c>
      <c r="F24" s="8">
        <v>125124989</v>
      </c>
      <c r="G24" s="8">
        <v>2.4977027817225501</v>
      </c>
      <c r="H24" s="3"/>
      <c r="I24" s="32">
        <f t="shared" si="1"/>
        <v>100.56910324505583</v>
      </c>
      <c r="J24" s="32">
        <f t="shared" si="2"/>
        <v>92.612500309747787</v>
      </c>
      <c r="K24" s="32">
        <f t="shared" si="3"/>
        <v>4648707.7013848927</v>
      </c>
      <c r="L24" s="32">
        <f t="shared" si="4"/>
        <v>117.76184111346342</v>
      </c>
      <c r="M24" s="32">
        <f t="shared" si="8"/>
        <v>1.2888934396112672</v>
      </c>
      <c r="N24" s="32">
        <f t="array" ref="N24">TREND($D$2:$D$26,$A$2:$A$26,A24)</f>
        <v>581528.85218703491</v>
      </c>
      <c r="O24" s="32">
        <f t="shared" si="5"/>
        <v>2.4185870131144784E-2</v>
      </c>
      <c r="P24" s="32">
        <f t="shared" si="9"/>
        <v>2.4977027817225492</v>
      </c>
      <c r="Q24" s="32">
        <f t="shared" si="10"/>
        <v>0.66440937117872301</v>
      </c>
      <c r="R24" s="32">
        <f t="shared" si="11"/>
        <v>-0.19999999999999973</v>
      </c>
      <c r="S24" s="32">
        <f t="shared" si="6"/>
        <v>3.8159999999999998</v>
      </c>
      <c r="T24" s="32">
        <f t="shared" si="7"/>
        <v>-1.2159999999999997</v>
      </c>
    </row>
    <row r="25" spans="1:20" ht="12" customHeight="1" x14ac:dyDescent="0.3">
      <c r="A25" s="33">
        <v>44927</v>
      </c>
      <c r="B25" s="8">
        <v>2.6</v>
      </c>
      <c r="C25" s="8">
        <v>616029.6</v>
      </c>
      <c r="D25" s="8">
        <v>585811.19999999995</v>
      </c>
      <c r="E25" s="46">
        <f t="shared" si="12"/>
        <v>107.49978790192579</v>
      </c>
      <c r="F25" s="8">
        <v>124516650</v>
      </c>
      <c r="G25" s="8">
        <v>3.2681336593316201</v>
      </c>
      <c r="H25" s="3"/>
      <c r="I25" s="32">
        <f t="shared" si="1"/>
        <v>105.15838550031135</v>
      </c>
      <c r="J25" s="32">
        <f t="shared" si="2"/>
        <v>96.83869792484154</v>
      </c>
      <c r="K25" s="32">
        <f t="shared" si="3"/>
        <v>4704681.6630547</v>
      </c>
      <c r="L25" s="32">
        <f t="shared" si="4"/>
        <v>119.17978287364059</v>
      </c>
      <c r="M25" s="32">
        <f t="shared" si="8"/>
        <v>0.7120366462398241</v>
      </c>
      <c r="N25" s="32">
        <f t="array" ref="N25">TREND($D$2:$D$26,$A$2:$A$26,A25)</f>
        <v>585111.10560600518</v>
      </c>
      <c r="O25" s="32">
        <f t="shared" si="5"/>
        <v>0.11965153067291058</v>
      </c>
      <c r="P25" s="32">
        <f t="shared" si="9"/>
        <v>3.2681336593316339</v>
      </c>
      <c r="Q25" s="32">
        <f t="shared" si="10"/>
        <v>4.5633122968918824</v>
      </c>
      <c r="R25" s="32">
        <f t="shared" si="11"/>
        <v>0</v>
      </c>
      <c r="S25" s="32">
        <f t="shared" si="6"/>
        <v>3.8159999999999998</v>
      </c>
      <c r="T25" s="32">
        <f t="shared" si="7"/>
        <v>-1.2159999999999997</v>
      </c>
    </row>
    <row r="26" spans="1:20" ht="12" customHeight="1" x14ac:dyDescent="0.3">
      <c r="A26" s="33">
        <v>45292</v>
      </c>
      <c r="B26" s="8">
        <v>2.5</v>
      </c>
      <c r="C26" s="8">
        <v>634646.6</v>
      </c>
      <c r="D26" s="8">
        <v>584868.6</v>
      </c>
      <c r="E26" s="46">
        <f t="shared" si="12"/>
        <v>110.44370917112077</v>
      </c>
      <c r="F26" s="8">
        <v>123975371</v>
      </c>
      <c r="G26" s="16">
        <v>2.7385368163524002</v>
      </c>
      <c r="H26" s="3"/>
      <c r="I26" s="32">
        <f t="shared" si="1"/>
        <v>108.51097152420219</v>
      </c>
      <c r="J26" s="32">
        <f t="shared" si="2"/>
        <v>99.926041494162973</v>
      </c>
      <c r="K26" s="32">
        <f t="shared" si="3"/>
        <v>4717619.2761705872</v>
      </c>
      <c r="L26" s="32">
        <f t="shared" si="4"/>
        <v>119.50752065325764</v>
      </c>
      <c r="M26" s="32">
        <f t="shared" si="8"/>
        <v>-0.16090508341253579</v>
      </c>
      <c r="N26" s="32">
        <f t="array" ref="N26">TREND($D$2:$D$26,$A$2:$A$26,A26)</f>
        <v>588693.35902497545</v>
      </c>
      <c r="O26" s="32">
        <f t="shared" si="5"/>
        <v>-0.64970310371943674</v>
      </c>
      <c r="P26" s="32">
        <f t="shared" si="9"/>
        <v>2.7385368163524064</v>
      </c>
      <c r="Q26" s="32">
        <f t="shared" si="10"/>
        <v>3.188129988816641</v>
      </c>
      <c r="R26" s="32">
        <f t="shared" si="11"/>
        <v>-0.10000000000000009</v>
      </c>
      <c r="S26" s="32">
        <f t="shared" si="6"/>
        <v>3.8159999999999998</v>
      </c>
      <c r="T26" s="32">
        <f t="shared" si="7"/>
        <v>-1.3159999999999998</v>
      </c>
    </row>
    <row r="27" spans="1:20" ht="12" customHeight="1" x14ac:dyDescent="0.3">
      <c r="A27" s="49" t="s">
        <v>18</v>
      </c>
      <c r="B27" s="12" t="s">
        <v>143</v>
      </c>
      <c r="C27" s="12" t="s">
        <v>144</v>
      </c>
      <c r="D27" s="12" t="s">
        <v>145</v>
      </c>
      <c r="E27" s="13" t="s">
        <v>146</v>
      </c>
      <c r="F27" s="12" t="s">
        <v>147</v>
      </c>
      <c r="G27" s="12" t="s">
        <v>148</v>
      </c>
      <c r="H27" s="25"/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24</v>
      </c>
    </row>
    <row r="28" spans="1:20" ht="36.75" customHeight="1" x14ac:dyDescent="0.3">
      <c r="A28" s="52"/>
      <c r="B28" s="11"/>
      <c r="C28" s="11"/>
      <c r="D28" s="11"/>
      <c r="E28" s="11"/>
      <c r="F28" s="11"/>
      <c r="G28" s="11"/>
      <c r="H28" s="24"/>
      <c r="I28" s="7" t="s">
        <v>25</v>
      </c>
      <c r="J28" s="7" t="s">
        <v>26</v>
      </c>
      <c r="K28" s="7" t="s">
        <v>149</v>
      </c>
      <c r="L28" s="7" t="s">
        <v>28</v>
      </c>
      <c r="M28" s="7" t="s">
        <v>29</v>
      </c>
      <c r="N28" s="7" t="s">
        <v>30</v>
      </c>
      <c r="O28" s="7" t="s">
        <v>31</v>
      </c>
      <c r="P28" s="7" t="s">
        <v>150</v>
      </c>
      <c r="Q28" s="7" t="s">
        <v>33</v>
      </c>
      <c r="R28" s="7" t="s">
        <v>34</v>
      </c>
      <c r="S28" s="7" t="s">
        <v>35</v>
      </c>
      <c r="T28" s="7" t="s">
        <v>36</v>
      </c>
    </row>
    <row r="29" spans="1:20" ht="12" customHeight="1" x14ac:dyDescent="0.3">
      <c r="A29" s="52" t="s">
        <v>37</v>
      </c>
      <c r="B29" s="11" t="s">
        <v>38</v>
      </c>
      <c r="C29" s="11" t="s">
        <v>38</v>
      </c>
      <c r="D29" s="11" t="s">
        <v>38</v>
      </c>
      <c r="E29" s="11" t="s">
        <v>38</v>
      </c>
      <c r="F29" s="11" t="s">
        <v>38</v>
      </c>
      <c r="G29" s="11" t="s">
        <v>38</v>
      </c>
      <c r="H29" s="24" t="s">
        <v>39</v>
      </c>
      <c r="I29" s="7" t="s">
        <v>38</v>
      </c>
      <c r="J29" s="7" t="s">
        <v>38</v>
      </c>
      <c r="K29" s="7" t="s">
        <v>38</v>
      </c>
      <c r="L29" s="7" t="s">
        <v>38</v>
      </c>
      <c r="M29" s="7" t="s">
        <v>40</v>
      </c>
      <c r="N29" s="7" t="s">
        <v>38</v>
      </c>
      <c r="O29" s="7" t="s">
        <v>38</v>
      </c>
      <c r="P29" s="7" t="s">
        <v>40</v>
      </c>
      <c r="Q29" s="7" t="s">
        <v>40</v>
      </c>
      <c r="R29" s="7" t="s">
        <v>40</v>
      </c>
      <c r="S29" s="7" t="s">
        <v>38</v>
      </c>
      <c r="T29" s="7" t="s">
        <v>38</v>
      </c>
    </row>
    <row r="30" spans="1:20" ht="24" customHeight="1" x14ac:dyDescent="0.3">
      <c r="A30" s="52" t="s">
        <v>41</v>
      </c>
      <c r="B30" s="11" t="s">
        <v>83</v>
      </c>
      <c r="C30" s="11" t="s">
        <v>151</v>
      </c>
      <c r="D30" s="11" t="s">
        <v>152</v>
      </c>
      <c r="E30" s="11" t="s">
        <v>153</v>
      </c>
      <c r="F30" s="11" t="s">
        <v>87</v>
      </c>
      <c r="G30" s="11" t="s">
        <v>154</v>
      </c>
      <c r="H30" s="24" t="s">
        <v>47</v>
      </c>
      <c r="I30" s="7" t="s">
        <v>48</v>
      </c>
      <c r="J30" s="7" t="s">
        <v>115</v>
      </c>
      <c r="K30" s="7" t="s">
        <v>50</v>
      </c>
      <c r="L30" s="7" t="s">
        <v>116</v>
      </c>
      <c r="M30" s="7" t="s">
        <v>52</v>
      </c>
      <c r="N30" s="7" t="s">
        <v>53</v>
      </c>
      <c r="O30" s="7" t="s">
        <v>117</v>
      </c>
      <c r="P30" s="7" t="s">
        <v>55</v>
      </c>
      <c r="Q30" s="7" t="s">
        <v>115</v>
      </c>
      <c r="R30" s="7" t="s">
        <v>56</v>
      </c>
      <c r="S30" s="7" t="s">
        <v>56</v>
      </c>
      <c r="T30" s="7" t="s">
        <v>118</v>
      </c>
    </row>
    <row r="31" spans="1:20" ht="48.75" customHeight="1" x14ac:dyDescent="0.3">
      <c r="A31" s="52" t="s">
        <v>58</v>
      </c>
      <c r="B31" s="11" t="s">
        <v>59</v>
      </c>
      <c r="C31" s="11" t="s">
        <v>155</v>
      </c>
      <c r="D31" s="11" t="s">
        <v>155</v>
      </c>
      <c r="E31" s="11" t="s">
        <v>156</v>
      </c>
      <c r="F31" s="11" t="s">
        <v>90</v>
      </c>
      <c r="G31" s="11" t="s">
        <v>157</v>
      </c>
      <c r="H31" s="24" t="s">
        <v>61</v>
      </c>
      <c r="I31" s="7" t="s">
        <v>62</v>
      </c>
      <c r="J31" s="7" t="s">
        <v>122</v>
      </c>
      <c r="K31" s="7" t="s">
        <v>158</v>
      </c>
      <c r="L31" s="7" t="s">
        <v>65</v>
      </c>
      <c r="M31" s="7" t="s">
        <v>66</v>
      </c>
      <c r="N31" s="7" t="s">
        <v>67</v>
      </c>
      <c r="O31" s="7" t="s">
        <v>68</v>
      </c>
      <c r="P31" s="7" t="s">
        <v>159</v>
      </c>
      <c r="Q31" s="7" t="s">
        <v>70</v>
      </c>
      <c r="R31" s="7" t="s">
        <v>71</v>
      </c>
      <c r="S31" s="7" t="s">
        <v>72</v>
      </c>
      <c r="T31" s="7" t="s">
        <v>73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1"/>
  <sheetViews>
    <sheetView topLeftCell="F30" zoomScale="40" zoomScaleNormal="40" workbookViewId="0">
      <selection activeCell="G1" sqref="G1:G26"/>
    </sheetView>
  </sheetViews>
  <sheetFormatPr defaultColWidth="8.77734375" defaultRowHeight="14.25" customHeight="1" x14ac:dyDescent="0.3"/>
  <cols>
    <col min="1" max="1" width="23.77734375" style="1" customWidth="1"/>
    <col min="2" max="6" width="27.44140625" customWidth="1"/>
    <col min="7" max="7" width="7.44140625" customWidth="1"/>
    <col min="8" max="8" width="17.6640625" customWidth="1"/>
    <col min="9" max="9" width="34.33203125" customWidth="1"/>
    <col min="10" max="10" width="37.88671875" customWidth="1"/>
    <col min="11" max="11" width="42" customWidth="1"/>
    <col min="12" max="12" width="23.77734375" customWidth="1"/>
    <col min="13" max="13" width="31.33203125" customWidth="1"/>
    <col min="14" max="14" width="27" customWidth="1"/>
    <col min="15" max="15" width="23.77734375" customWidth="1"/>
    <col min="16" max="16" width="34.21875" customWidth="1"/>
    <col min="17" max="17" width="39.109375" customWidth="1"/>
    <col min="18" max="18" width="36.21875" customWidth="1"/>
    <col min="19" max="19" width="27.21875" customWidth="1"/>
    <col min="20" max="16384" width="8.77734375" style="1"/>
  </cols>
  <sheetData>
    <row r="1" spans="1:19" ht="12" customHeight="1" x14ac:dyDescent="0.3">
      <c r="A1" s="37" t="s">
        <v>0</v>
      </c>
      <c r="B1" s="38" t="s">
        <v>1</v>
      </c>
      <c r="C1" s="38" t="s">
        <v>2</v>
      </c>
      <c r="D1" s="38" t="s">
        <v>3</v>
      </c>
      <c r="E1" s="38" t="s">
        <v>160</v>
      </c>
      <c r="F1" s="38" t="s">
        <v>75</v>
      </c>
      <c r="G1" s="31"/>
      <c r="H1" s="31" t="s">
        <v>6</v>
      </c>
      <c r="I1" s="31" t="s">
        <v>7</v>
      </c>
      <c r="J1" s="31" t="s">
        <v>161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</row>
    <row r="2" spans="1:19" ht="12" customHeight="1" x14ac:dyDescent="0.3">
      <c r="A2" s="33">
        <v>36526</v>
      </c>
      <c r="B2" s="8">
        <v>5.5</v>
      </c>
      <c r="C2" s="8">
        <v>1104759</v>
      </c>
      <c r="D2" s="8">
        <v>1940007</v>
      </c>
      <c r="E2" s="8">
        <v>73.4166666666666</v>
      </c>
      <c r="F2" s="8">
        <v>58892514</v>
      </c>
      <c r="G2" s="3"/>
      <c r="H2" s="32">
        <f t="shared" ref="H2:H26" si="0">C2/D2*100</f>
        <v>56.946134730441699</v>
      </c>
      <c r="I2" s="32">
        <f t="shared" ref="I2:I26" si="1">H2/$H$2*100</f>
        <v>100</v>
      </c>
      <c r="J2" s="32">
        <f t="shared" ref="J2:J26" si="2">(D2*1000000)/F2</f>
        <v>32941.487266106524</v>
      </c>
      <c r="K2" s="32">
        <f t="shared" ref="K2:K26" si="3">J2/$J$2*100</f>
        <v>100</v>
      </c>
      <c r="L2" s="32"/>
      <c r="M2" s="32">
        <f t="array" ref="M2">TREND($D$2:$D$26,$A$2:$A$26,A2)</f>
        <v>1980595.7163472134</v>
      </c>
      <c r="N2" s="32">
        <f t="shared" ref="N2:N26" si="4">(D2-M2)/M2*100</f>
        <v>-2.0493185970365828</v>
      </c>
      <c r="O2" s="32"/>
      <c r="P2" s="32"/>
      <c r="Q2" s="32"/>
      <c r="R2" s="32">
        <f t="shared" ref="R2:R26" si="5">AVERAGE($B$2:$B$26)</f>
        <v>5.4480000000000004</v>
      </c>
      <c r="S2" s="32">
        <f t="shared" ref="S2:S26" si="6">B2-R2</f>
        <v>5.1999999999999602E-2</v>
      </c>
    </row>
    <row r="3" spans="1:19" ht="12" customHeight="1" x14ac:dyDescent="0.3">
      <c r="A3" s="33">
        <v>36892</v>
      </c>
      <c r="B3" s="8">
        <v>5.0999999999999996</v>
      </c>
      <c r="C3" s="8">
        <v>1150542</v>
      </c>
      <c r="D3" s="8">
        <v>1986393</v>
      </c>
      <c r="E3" s="8">
        <v>74.5416666666666</v>
      </c>
      <c r="F3" s="8">
        <v>59119673</v>
      </c>
      <c r="G3" s="3"/>
      <c r="H3" s="32">
        <f t="shared" si="0"/>
        <v>57.921166657353304</v>
      </c>
      <c r="I3" s="32">
        <f t="shared" si="1"/>
        <v>101.7122003653575</v>
      </c>
      <c r="J3" s="32">
        <f t="shared" si="2"/>
        <v>33599.526167879856</v>
      </c>
      <c r="K3" s="32">
        <f t="shared" si="3"/>
        <v>101.99759924759194</v>
      </c>
      <c r="L3" s="32">
        <f t="shared" ref="L3:L26" si="7">(D3-D2)/D2*100</f>
        <v>2.3910223004349982</v>
      </c>
      <c r="M3" s="32">
        <f t="array" ref="M3">TREND($D$2:$D$26,$A$2:$A$26,A3)</f>
        <v>2012934.1565886992</v>
      </c>
      <c r="N3" s="32">
        <f t="shared" si="4"/>
        <v>-1.3185307875980532</v>
      </c>
      <c r="O3" s="32">
        <f t="shared" ref="O3:O26" si="8">(E3-E2)/E2*100</f>
        <v>1.5323496027241785</v>
      </c>
      <c r="P3" s="32">
        <f t="shared" ref="P3:P26" si="9">(H3-H2)/H2*100</f>
        <v>1.712200365357514</v>
      </c>
      <c r="Q3" s="32">
        <f t="shared" ref="Q3:Q26" si="10">B3-B2</f>
        <v>-0.40000000000000036</v>
      </c>
      <c r="R3" s="32">
        <f t="shared" si="5"/>
        <v>5.4480000000000004</v>
      </c>
      <c r="S3" s="32">
        <f t="shared" si="6"/>
        <v>-0.34800000000000075</v>
      </c>
    </row>
    <row r="4" spans="1:19" ht="12" customHeight="1" x14ac:dyDescent="0.3">
      <c r="A4" s="33">
        <v>37257</v>
      </c>
      <c r="B4" s="8">
        <v>5.2</v>
      </c>
      <c r="C4" s="8">
        <v>1194646</v>
      </c>
      <c r="D4" s="8">
        <v>2020341</v>
      </c>
      <c r="E4" s="8">
        <v>75.674999999999898</v>
      </c>
      <c r="F4" s="8">
        <v>59370479</v>
      </c>
      <c r="G4" s="3"/>
      <c r="H4" s="32">
        <f t="shared" si="0"/>
        <v>59.130909089109217</v>
      </c>
      <c r="I4" s="32">
        <f t="shared" si="1"/>
        <v>103.83656304156426</v>
      </c>
      <c r="J4" s="32">
        <f t="shared" si="2"/>
        <v>34029.386894453048</v>
      </c>
      <c r="K4" s="32">
        <f t="shared" si="3"/>
        <v>103.30252128435579</v>
      </c>
      <c r="L4" s="32">
        <f t="shared" si="7"/>
        <v>1.7090273676961205</v>
      </c>
      <c r="M4" s="32">
        <f t="array" ref="M4">TREND($D$2:$D$26,$A$2:$A$26,A4)</f>
        <v>2045184.2404360827</v>
      </c>
      <c r="N4" s="32">
        <f t="shared" si="4"/>
        <v>-1.2147189453594422</v>
      </c>
      <c r="O4" s="32">
        <f t="shared" si="8"/>
        <v>1.52040245947452</v>
      </c>
      <c r="P4" s="32">
        <f t="shared" si="9"/>
        <v>2.0886016314423319</v>
      </c>
      <c r="Q4" s="32">
        <f t="shared" si="10"/>
        <v>0.10000000000000053</v>
      </c>
      <c r="R4" s="32">
        <f t="shared" si="5"/>
        <v>5.4480000000000004</v>
      </c>
      <c r="S4" s="32">
        <f t="shared" si="6"/>
        <v>-0.24800000000000022</v>
      </c>
    </row>
    <row r="5" spans="1:19" ht="12" customHeight="1" x14ac:dyDescent="0.3">
      <c r="A5" s="33">
        <v>37622</v>
      </c>
      <c r="B5" s="8">
        <v>5</v>
      </c>
      <c r="C5" s="8">
        <v>1262502</v>
      </c>
      <c r="D5" s="8">
        <v>2085366</v>
      </c>
      <c r="E5" s="8">
        <v>76.716666666666598</v>
      </c>
      <c r="F5" s="8">
        <v>59647577</v>
      </c>
      <c r="G5" s="3"/>
      <c r="H5" s="32">
        <f t="shared" si="0"/>
        <v>60.54102733045422</v>
      </c>
      <c r="I5" s="32">
        <f t="shared" si="1"/>
        <v>106.3127947437156</v>
      </c>
      <c r="J5" s="32">
        <f t="shared" si="2"/>
        <v>34961.45367313076</v>
      </c>
      <c r="K5" s="32">
        <f t="shared" si="3"/>
        <v>106.13198302404088</v>
      </c>
      <c r="L5" s="32">
        <f t="shared" si="7"/>
        <v>3.2185160821861256</v>
      </c>
      <c r="M5" s="32">
        <f t="array" ref="M5">TREND($D$2:$D$26,$A$2:$A$26,A5)</f>
        <v>2077434.3242834662</v>
      </c>
      <c r="N5" s="32">
        <f t="shared" si="4"/>
        <v>0.38180151467698153</v>
      </c>
      <c r="O5" s="32">
        <f t="shared" si="8"/>
        <v>1.3765003854201536</v>
      </c>
      <c r="P5" s="32">
        <f t="shared" si="9"/>
        <v>2.3847396616547538</v>
      </c>
      <c r="Q5" s="32">
        <f t="shared" si="10"/>
        <v>-0.20000000000000018</v>
      </c>
      <c r="R5" s="32">
        <f t="shared" si="5"/>
        <v>5.4480000000000004</v>
      </c>
      <c r="S5" s="32">
        <f t="shared" si="6"/>
        <v>-0.4480000000000004</v>
      </c>
    </row>
    <row r="6" spans="1:19" ht="12" customHeight="1" x14ac:dyDescent="0.3">
      <c r="A6" s="33">
        <v>37987</v>
      </c>
      <c r="B6" s="8">
        <v>4.8</v>
      </c>
      <c r="C6" s="8">
        <v>1327143</v>
      </c>
      <c r="D6" s="8">
        <v>2133872</v>
      </c>
      <c r="E6" s="8">
        <v>77.783333333333303</v>
      </c>
      <c r="F6" s="8">
        <v>59987905</v>
      </c>
      <c r="G6" s="3"/>
      <c r="H6" s="32">
        <f t="shared" si="0"/>
        <v>62.194124108662564</v>
      </c>
      <c r="I6" s="32">
        <f t="shared" si="1"/>
        <v>109.21570779660914</v>
      </c>
      <c r="J6" s="32">
        <f t="shared" si="2"/>
        <v>35571.703995997195</v>
      </c>
      <c r="K6" s="32">
        <f t="shared" si="3"/>
        <v>107.98451116867727</v>
      </c>
      <c r="L6" s="32">
        <f t="shared" si="7"/>
        <v>2.3260185502209203</v>
      </c>
      <c r="M6" s="32">
        <f t="array" ref="M6">TREND($D$2:$D$26,$A$2:$A$26,A6)</f>
        <v>2109684.4081308502</v>
      </c>
      <c r="N6" s="32">
        <f t="shared" si="4"/>
        <v>1.1465028501859991</v>
      </c>
      <c r="O6" s="32">
        <f t="shared" si="8"/>
        <v>1.3903975668043098</v>
      </c>
      <c r="P6" s="32">
        <f t="shared" si="9"/>
        <v>2.7305396870541361</v>
      </c>
      <c r="Q6" s="32">
        <f t="shared" si="10"/>
        <v>-0.20000000000000018</v>
      </c>
      <c r="R6" s="32">
        <f t="shared" si="5"/>
        <v>5.4480000000000004</v>
      </c>
      <c r="S6" s="32">
        <f t="shared" si="6"/>
        <v>-0.64800000000000058</v>
      </c>
    </row>
    <row r="7" spans="1:19" ht="12" customHeight="1" x14ac:dyDescent="0.3">
      <c r="A7" s="33">
        <v>38353</v>
      </c>
      <c r="B7" s="8">
        <v>4.8</v>
      </c>
      <c r="C7" s="8">
        <v>1403249</v>
      </c>
      <c r="D7" s="8">
        <v>2193421</v>
      </c>
      <c r="E7" s="8">
        <v>79.408333333333303</v>
      </c>
      <c r="F7" s="8">
        <v>60401206</v>
      </c>
      <c r="G7" s="3"/>
      <c r="H7" s="32">
        <f t="shared" si="0"/>
        <v>63.975360863236006</v>
      </c>
      <c r="I7" s="32">
        <f t="shared" si="1"/>
        <v>112.34364047018749</v>
      </c>
      <c r="J7" s="32">
        <f t="shared" si="2"/>
        <v>36314.192137156999</v>
      </c>
      <c r="K7" s="32">
        <f t="shared" si="3"/>
        <v>110.238471759958</v>
      </c>
      <c r="L7" s="32">
        <f t="shared" si="7"/>
        <v>2.7906547346794932</v>
      </c>
      <c r="M7" s="32">
        <f t="array" ref="M7">TREND($D$2:$D$26,$A$2:$A$26,A7)</f>
        <v>2142022.848372336</v>
      </c>
      <c r="N7" s="32">
        <f t="shared" si="4"/>
        <v>2.3995146301413182</v>
      </c>
      <c r="O7" s="32">
        <f t="shared" si="8"/>
        <v>2.0891364902506973</v>
      </c>
      <c r="P7" s="32">
        <f t="shared" si="9"/>
        <v>2.8639952408709082</v>
      </c>
      <c r="Q7" s="32">
        <f t="shared" si="10"/>
        <v>0</v>
      </c>
      <c r="R7" s="32">
        <f t="shared" si="5"/>
        <v>5.4480000000000004</v>
      </c>
      <c r="S7" s="32">
        <f t="shared" si="6"/>
        <v>-0.64800000000000058</v>
      </c>
    </row>
    <row r="8" spans="1:19" ht="12" customHeight="1" x14ac:dyDescent="0.3">
      <c r="A8" s="33">
        <v>38718</v>
      </c>
      <c r="B8" s="8">
        <v>5.4</v>
      </c>
      <c r="C8" s="8">
        <v>1478080</v>
      </c>
      <c r="D8" s="8">
        <v>2241453</v>
      </c>
      <c r="E8" s="8">
        <v>81.358333333333306</v>
      </c>
      <c r="F8" s="8">
        <v>60846820</v>
      </c>
      <c r="G8" s="3"/>
      <c r="H8" s="32">
        <f t="shared" si="0"/>
        <v>65.942939691351995</v>
      </c>
      <c r="I8" s="32">
        <f t="shared" si="1"/>
        <v>115.79879829157373</v>
      </c>
      <c r="J8" s="32">
        <f t="shared" si="2"/>
        <v>36837.63588631255</v>
      </c>
      <c r="K8" s="32">
        <f t="shared" si="3"/>
        <v>111.82748243493781</v>
      </c>
      <c r="L8" s="32">
        <f t="shared" si="7"/>
        <v>2.189821288298051</v>
      </c>
      <c r="M8" s="32">
        <f t="array" ref="M8">TREND($D$2:$D$26,$A$2:$A$26,A8)</f>
        <v>2174272.9322197195</v>
      </c>
      <c r="N8" s="32">
        <f t="shared" si="4"/>
        <v>3.0897716098455139</v>
      </c>
      <c r="O8" s="32">
        <f t="shared" si="8"/>
        <v>2.4556616643929106</v>
      </c>
      <c r="P8" s="32">
        <f t="shared" si="9"/>
        <v>3.0755259549409995</v>
      </c>
      <c r="Q8" s="32">
        <f t="shared" si="10"/>
        <v>0.60000000000000053</v>
      </c>
      <c r="R8" s="32">
        <f t="shared" si="5"/>
        <v>5.4480000000000004</v>
      </c>
      <c r="S8" s="32">
        <f t="shared" si="6"/>
        <v>-4.8000000000000043E-2</v>
      </c>
    </row>
    <row r="9" spans="1:19" ht="12" customHeight="1" x14ac:dyDescent="0.3">
      <c r="A9" s="33">
        <v>39083</v>
      </c>
      <c r="B9" s="8">
        <v>5.3</v>
      </c>
      <c r="C9" s="8">
        <v>1551729</v>
      </c>
      <c r="D9" s="8">
        <v>2307148</v>
      </c>
      <c r="E9" s="8">
        <v>83.299999999999898</v>
      </c>
      <c r="F9" s="8">
        <v>61322463</v>
      </c>
      <c r="G9" s="3"/>
      <c r="H9" s="32">
        <f t="shared" si="0"/>
        <v>67.257453791434273</v>
      </c>
      <c r="I9" s="32">
        <f t="shared" si="1"/>
        <v>118.10714477778323</v>
      </c>
      <c r="J9" s="32">
        <f t="shared" si="2"/>
        <v>37623.211579091338</v>
      </c>
      <c r="K9" s="32">
        <f t="shared" si="3"/>
        <v>114.21224328812207</v>
      </c>
      <c r="L9" s="32">
        <f t="shared" si="7"/>
        <v>2.9309113329612533</v>
      </c>
      <c r="M9" s="32">
        <f t="array" ref="M9">TREND($D$2:$D$26,$A$2:$A$26,A9)</f>
        <v>2206523.016067103</v>
      </c>
      <c r="N9" s="32">
        <f t="shared" si="4"/>
        <v>4.5603414603057484</v>
      </c>
      <c r="O9" s="32">
        <f t="shared" si="8"/>
        <v>2.3865615077331879</v>
      </c>
      <c r="P9" s="32">
        <f t="shared" si="9"/>
        <v>1.9934114345446261</v>
      </c>
      <c r="Q9" s="32">
        <f t="shared" si="10"/>
        <v>-0.10000000000000053</v>
      </c>
      <c r="R9" s="32">
        <f t="shared" si="5"/>
        <v>5.4480000000000004</v>
      </c>
      <c r="S9" s="32">
        <f t="shared" si="6"/>
        <v>-0.14800000000000058</v>
      </c>
    </row>
    <row r="10" spans="1:19" ht="12" customHeight="1" x14ac:dyDescent="0.3">
      <c r="A10" s="33">
        <v>39448</v>
      </c>
      <c r="B10" s="8">
        <v>5.7</v>
      </c>
      <c r="C10" s="8">
        <v>1602217</v>
      </c>
      <c r="D10" s="8">
        <v>2306008</v>
      </c>
      <c r="E10" s="8">
        <v>86.233333333333306</v>
      </c>
      <c r="F10" s="8">
        <v>61806995</v>
      </c>
      <c r="G10" s="3"/>
      <c r="H10" s="32">
        <f t="shared" si="0"/>
        <v>69.480114552941714</v>
      </c>
      <c r="I10" s="32">
        <f t="shared" si="1"/>
        <v>122.01023806414683</v>
      </c>
      <c r="J10" s="32">
        <f t="shared" si="2"/>
        <v>37309.822294385936</v>
      </c>
      <c r="K10" s="32">
        <f t="shared" si="3"/>
        <v>113.26089193542268</v>
      </c>
      <c r="L10" s="32">
        <f t="shared" si="7"/>
        <v>-4.9411654562256088E-2</v>
      </c>
      <c r="M10" s="32">
        <f t="array" ref="M10">TREND($D$2:$D$26,$A$2:$A$26,A10)</f>
        <v>2238773.0999144865</v>
      </c>
      <c r="N10" s="32">
        <f t="shared" si="4"/>
        <v>3.0032029636268911</v>
      </c>
      <c r="O10" s="32">
        <f t="shared" si="8"/>
        <v>3.5214085634254642</v>
      </c>
      <c r="P10" s="32">
        <f t="shared" si="9"/>
        <v>3.3047054805255112</v>
      </c>
      <c r="Q10" s="32">
        <f t="shared" si="10"/>
        <v>0.40000000000000036</v>
      </c>
      <c r="R10" s="32">
        <f t="shared" si="5"/>
        <v>5.4480000000000004</v>
      </c>
      <c r="S10" s="32">
        <f t="shared" si="6"/>
        <v>0.25199999999999978</v>
      </c>
    </row>
    <row r="11" spans="1:19" ht="12" customHeight="1" x14ac:dyDescent="0.3">
      <c r="A11" s="33">
        <v>39814</v>
      </c>
      <c r="B11" s="8">
        <v>7.6</v>
      </c>
      <c r="C11" s="8">
        <v>1559405</v>
      </c>
      <c r="D11" s="8">
        <v>2200222</v>
      </c>
      <c r="E11" s="8">
        <v>87.924999999999898</v>
      </c>
      <c r="F11" s="8">
        <v>62276270</v>
      </c>
      <c r="G11" s="3"/>
      <c r="H11" s="32">
        <f t="shared" si="0"/>
        <v>70.874893533470711</v>
      </c>
      <c r="I11" s="32">
        <f t="shared" si="1"/>
        <v>124.45953332734823</v>
      </c>
      <c r="J11" s="32">
        <f t="shared" si="2"/>
        <v>35330.022173775018</v>
      </c>
      <c r="K11" s="32">
        <f t="shared" si="3"/>
        <v>107.25084113043692</v>
      </c>
      <c r="L11" s="32">
        <f t="shared" si="7"/>
        <v>-4.5874081963288935</v>
      </c>
      <c r="M11" s="32">
        <f t="array" ref="M11">TREND($D$2:$D$26,$A$2:$A$26,A11)</f>
        <v>2271111.5401559728</v>
      </c>
      <c r="N11" s="32">
        <f t="shared" si="4"/>
        <v>-3.1213588105454453</v>
      </c>
      <c r="O11" s="32">
        <f t="shared" si="8"/>
        <v>1.9617317356009962</v>
      </c>
      <c r="P11" s="32">
        <f t="shared" si="9"/>
        <v>2.0074506058366071</v>
      </c>
      <c r="Q11" s="32">
        <f t="shared" si="10"/>
        <v>1.8999999999999995</v>
      </c>
      <c r="R11" s="32">
        <f t="shared" si="5"/>
        <v>5.4480000000000004</v>
      </c>
      <c r="S11" s="32">
        <f t="shared" si="6"/>
        <v>2.1519999999999992</v>
      </c>
    </row>
    <row r="12" spans="1:19" ht="12" customHeight="1" x14ac:dyDescent="0.3">
      <c r="A12" s="33">
        <v>40179</v>
      </c>
      <c r="B12" s="8">
        <v>7.9</v>
      </c>
      <c r="C12" s="8">
        <v>1615839</v>
      </c>
      <c r="D12" s="8">
        <v>2249959</v>
      </c>
      <c r="E12" s="8">
        <v>90.116666666666603</v>
      </c>
      <c r="F12" s="8">
        <v>62766365</v>
      </c>
      <c r="G12" s="3"/>
      <c r="H12" s="32">
        <f t="shared" si="0"/>
        <v>71.816375320616956</v>
      </c>
      <c r="I12" s="32">
        <f t="shared" si="1"/>
        <v>126.11281812288846</v>
      </c>
      <c r="J12" s="32">
        <f t="shared" si="2"/>
        <v>35846.571647091558</v>
      </c>
      <c r="K12" s="32">
        <f t="shared" si="3"/>
        <v>108.81892295122351</v>
      </c>
      <c r="L12" s="32">
        <f t="shared" si="7"/>
        <v>2.260544617770389</v>
      </c>
      <c r="M12" s="32">
        <f t="array" ref="M12">TREND($D$2:$D$26,$A$2:$A$26,A12)</f>
        <v>2303361.6240033563</v>
      </c>
      <c r="N12" s="32">
        <f t="shared" si="4"/>
        <v>-2.3184646061151235</v>
      </c>
      <c r="O12" s="32">
        <f t="shared" si="8"/>
        <v>2.4926547246706945</v>
      </c>
      <c r="P12" s="32">
        <f t="shared" si="9"/>
        <v>1.328371360024166</v>
      </c>
      <c r="Q12" s="32">
        <f t="shared" si="10"/>
        <v>0.30000000000000071</v>
      </c>
      <c r="R12" s="32">
        <f t="shared" si="5"/>
        <v>5.4480000000000004</v>
      </c>
      <c r="S12" s="32">
        <f t="shared" si="6"/>
        <v>2.452</v>
      </c>
    </row>
    <row r="13" spans="1:19" ht="12" customHeight="1" x14ac:dyDescent="0.3">
      <c r="A13" s="33">
        <v>40544</v>
      </c>
      <c r="B13" s="8">
        <v>8.1</v>
      </c>
      <c r="C13" s="8">
        <v>1669945</v>
      </c>
      <c r="D13" s="8">
        <v>2269116</v>
      </c>
      <c r="E13" s="8">
        <v>93.591666666666598</v>
      </c>
      <c r="F13" s="8">
        <v>63258810</v>
      </c>
      <c r="G13" s="3"/>
      <c r="H13" s="32">
        <f t="shared" si="0"/>
        <v>73.594518746507447</v>
      </c>
      <c r="I13" s="32">
        <f t="shared" si="1"/>
        <v>129.23531877075061</v>
      </c>
      <c r="J13" s="32">
        <f t="shared" si="2"/>
        <v>35870.355449304217</v>
      </c>
      <c r="K13" s="32">
        <f t="shared" si="3"/>
        <v>108.89112309817051</v>
      </c>
      <c r="L13" s="32">
        <f t="shared" si="7"/>
        <v>0.85143773730987982</v>
      </c>
      <c r="M13" s="32">
        <f t="array" ref="M13">TREND($D$2:$D$26,$A$2:$A$26,A13)</f>
        <v>2335611.7078507398</v>
      </c>
      <c r="N13" s="32">
        <f t="shared" si="4"/>
        <v>-2.8470360731292121</v>
      </c>
      <c r="O13" s="32">
        <f t="shared" si="8"/>
        <v>3.856112446828182</v>
      </c>
      <c r="P13" s="32">
        <f t="shared" si="9"/>
        <v>2.4759581891346496</v>
      </c>
      <c r="Q13" s="32">
        <f t="shared" si="10"/>
        <v>0.19999999999999929</v>
      </c>
      <c r="R13" s="32">
        <f t="shared" si="5"/>
        <v>5.4480000000000004</v>
      </c>
      <c r="S13" s="32">
        <f t="shared" si="6"/>
        <v>2.6519999999999992</v>
      </c>
    </row>
    <row r="14" spans="1:19" ht="12" customHeight="1" x14ac:dyDescent="0.3">
      <c r="A14" s="33">
        <v>40909</v>
      </c>
      <c r="B14" s="8">
        <v>8</v>
      </c>
      <c r="C14" s="8">
        <v>1721708</v>
      </c>
      <c r="D14" s="8">
        <v>2303794</v>
      </c>
      <c r="E14" s="8">
        <v>96</v>
      </c>
      <c r="F14" s="8">
        <v>63711000</v>
      </c>
      <c r="G14" s="3"/>
      <c r="H14" s="32">
        <f t="shared" si="0"/>
        <v>74.73359163189069</v>
      </c>
      <c r="I14" s="32">
        <f t="shared" si="1"/>
        <v>131.23558251257455</v>
      </c>
      <c r="J14" s="32">
        <f t="shared" si="2"/>
        <v>36160.066550517178</v>
      </c>
      <c r="K14" s="32">
        <f t="shared" si="3"/>
        <v>109.77059492915564</v>
      </c>
      <c r="L14" s="32">
        <f t="shared" si="7"/>
        <v>1.5282603445570875</v>
      </c>
      <c r="M14" s="32">
        <f t="array" ref="M14">TREND($D$2:$D$26,$A$2:$A$26,A14)</f>
        <v>2367861.7916981233</v>
      </c>
      <c r="N14" s="32">
        <f t="shared" si="4"/>
        <v>-2.7057234473206648</v>
      </c>
      <c r="O14" s="32">
        <f t="shared" si="8"/>
        <v>2.5732347965453521</v>
      </c>
      <c r="P14" s="32">
        <f t="shared" si="9"/>
        <v>1.5477686447094261</v>
      </c>
      <c r="Q14" s="32">
        <f t="shared" si="10"/>
        <v>-9.9999999999999645E-2</v>
      </c>
      <c r="R14" s="32">
        <f t="shared" si="5"/>
        <v>5.4480000000000004</v>
      </c>
      <c r="S14" s="32">
        <f t="shared" si="6"/>
        <v>2.5519999999999996</v>
      </c>
    </row>
    <row r="15" spans="1:19" ht="12" customHeight="1" x14ac:dyDescent="0.3">
      <c r="A15" s="33">
        <v>41275</v>
      </c>
      <c r="B15" s="8">
        <v>7.6</v>
      </c>
      <c r="C15" s="8">
        <v>1789072</v>
      </c>
      <c r="D15" s="8">
        <v>2343384</v>
      </c>
      <c r="E15" s="8">
        <v>98.2</v>
      </c>
      <c r="F15" s="8">
        <v>64138000</v>
      </c>
      <c r="G15" s="3"/>
      <c r="H15" s="32">
        <f t="shared" si="0"/>
        <v>76.345660805057975</v>
      </c>
      <c r="I15" s="32">
        <f t="shared" si="1"/>
        <v>134.06644922687943</v>
      </c>
      <c r="J15" s="32">
        <f t="shared" si="2"/>
        <v>36536.592971405407</v>
      </c>
      <c r="K15" s="32">
        <f t="shared" si="3"/>
        <v>110.91361077979587</v>
      </c>
      <c r="L15" s="32">
        <f t="shared" si="7"/>
        <v>1.7184696201136038</v>
      </c>
      <c r="M15" s="32">
        <f t="array" ref="M15">TREND($D$2:$D$26,$A$2:$A$26,A15)</f>
        <v>2400200.2319396092</v>
      </c>
      <c r="N15" s="32">
        <f t="shared" si="4"/>
        <v>-2.3671455065936642</v>
      </c>
      <c r="O15" s="32">
        <f t="shared" si="8"/>
        <v>2.2916666666666696</v>
      </c>
      <c r="P15" s="32">
        <f t="shared" si="9"/>
        <v>2.157087780696699</v>
      </c>
      <c r="Q15" s="32">
        <f t="shared" si="10"/>
        <v>-0.40000000000000036</v>
      </c>
      <c r="R15" s="32">
        <f t="shared" si="5"/>
        <v>5.4480000000000004</v>
      </c>
      <c r="S15" s="32">
        <f t="shared" si="6"/>
        <v>2.1519999999999992</v>
      </c>
    </row>
    <row r="16" spans="1:19" ht="12" customHeight="1" x14ac:dyDescent="0.3">
      <c r="A16" s="33">
        <v>41640</v>
      </c>
      <c r="B16" s="8">
        <v>6.2</v>
      </c>
      <c r="C16" s="8">
        <v>1875066</v>
      </c>
      <c r="D16" s="8">
        <v>2417439</v>
      </c>
      <c r="E16" s="8">
        <v>99.625</v>
      </c>
      <c r="F16" s="8">
        <v>64619000</v>
      </c>
      <c r="G16" s="3"/>
      <c r="H16" s="32">
        <f t="shared" si="0"/>
        <v>77.564149498705035</v>
      </c>
      <c r="I16" s="32">
        <f t="shared" si="1"/>
        <v>136.20617073636353</v>
      </c>
      <c r="J16" s="32">
        <f t="shared" si="2"/>
        <v>37410.653213451151</v>
      </c>
      <c r="K16" s="32">
        <f t="shared" si="3"/>
        <v>113.56698290894398</v>
      </c>
      <c r="L16" s="32">
        <f t="shared" si="7"/>
        <v>3.1601734926926186</v>
      </c>
      <c r="M16" s="32">
        <f t="array" ref="M16">TREND($D$2:$D$26,$A$2:$A$26,A16)</f>
        <v>2432450.3157869927</v>
      </c>
      <c r="N16" s="32">
        <f t="shared" si="4"/>
        <v>-0.6171273340946295</v>
      </c>
      <c r="O16" s="32">
        <f t="shared" si="8"/>
        <v>1.4511201629327872</v>
      </c>
      <c r="P16" s="32">
        <f t="shared" si="9"/>
        <v>1.59601564882432</v>
      </c>
      <c r="Q16" s="32">
        <f t="shared" si="10"/>
        <v>-1.3999999999999995</v>
      </c>
      <c r="R16" s="32">
        <f t="shared" si="5"/>
        <v>5.4480000000000004</v>
      </c>
      <c r="S16" s="32">
        <f t="shared" si="6"/>
        <v>0.75199999999999978</v>
      </c>
    </row>
    <row r="17" spans="1:19" ht="12" customHeight="1" x14ac:dyDescent="0.3">
      <c r="A17" s="33">
        <v>42005</v>
      </c>
      <c r="B17" s="8">
        <v>5.4</v>
      </c>
      <c r="C17" s="8">
        <v>1928016</v>
      </c>
      <c r="D17" s="8">
        <v>2469182</v>
      </c>
      <c r="E17" s="8">
        <v>99.991666666666603</v>
      </c>
      <c r="F17" s="8">
        <v>65087000</v>
      </c>
      <c r="G17" s="3"/>
      <c r="H17" s="32">
        <f t="shared" si="0"/>
        <v>78.083187063570037</v>
      </c>
      <c r="I17" s="32">
        <f t="shared" si="1"/>
        <v>137.11762428333719</v>
      </c>
      <c r="J17" s="32">
        <f t="shared" si="2"/>
        <v>37936.638652879992</v>
      </c>
      <c r="K17" s="32">
        <f t="shared" si="3"/>
        <v>115.16370935659901</v>
      </c>
      <c r="L17" s="32">
        <f t="shared" si="7"/>
        <v>2.1404056110619543</v>
      </c>
      <c r="M17" s="32">
        <f t="array" ref="M17">TREND($D$2:$D$26,$A$2:$A$26,A17)</f>
        <v>2464700.3996343766</v>
      </c>
      <c r="N17" s="32">
        <f t="shared" si="4"/>
        <v>0.18183144556994368</v>
      </c>
      <c r="O17" s="32">
        <f t="shared" si="8"/>
        <v>0.36804684232532314</v>
      </c>
      <c r="P17" s="32">
        <f t="shared" si="9"/>
        <v>0.66917199275635375</v>
      </c>
      <c r="Q17" s="32">
        <f t="shared" si="10"/>
        <v>-0.79999999999999982</v>
      </c>
      <c r="R17" s="32">
        <f t="shared" si="5"/>
        <v>5.4480000000000004</v>
      </c>
      <c r="S17" s="32">
        <f t="shared" si="6"/>
        <v>-4.8000000000000043E-2</v>
      </c>
    </row>
    <row r="18" spans="1:19" ht="12" customHeight="1" x14ac:dyDescent="0.3">
      <c r="A18" s="33">
        <v>42370</v>
      </c>
      <c r="B18" s="8">
        <v>4.9000000000000004</v>
      </c>
      <c r="C18" s="8">
        <v>2004755</v>
      </c>
      <c r="D18" s="8">
        <v>2523665</v>
      </c>
      <c r="E18" s="8">
        <v>101</v>
      </c>
      <c r="F18" s="8">
        <v>65606000</v>
      </c>
      <c r="G18" s="3"/>
      <c r="H18" s="32">
        <f t="shared" si="0"/>
        <v>79.438237642476324</v>
      </c>
      <c r="I18" s="32">
        <f t="shared" si="1"/>
        <v>139.49715466818333</v>
      </c>
      <c r="J18" s="32">
        <f t="shared" si="2"/>
        <v>38466.984727006675</v>
      </c>
      <c r="K18" s="32">
        <f t="shared" si="3"/>
        <v>116.77367332040691</v>
      </c>
      <c r="L18" s="32">
        <f t="shared" si="7"/>
        <v>2.2065202160067585</v>
      </c>
      <c r="M18" s="32">
        <f t="array" ref="M18">TREND($D$2:$D$26,$A$2:$A$26,A18)</f>
        <v>2496950.4834817601</v>
      </c>
      <c r="N18" s="32">
        <f t="shared" si="4"/>
        <v>1.0698857143930627</v>
      </c>
      <c r="O18" s="32">
        <f t="shared" si="8"/>
        <v>1.0084173681140736</v>
      </c>
      <c r="P18" s="32">
        <f t="shared" si="9"/>
        <v>1.7353935333135113</v>
      </c>
      <c r="Q18" s="32">
        <f t="shared" si="10"/>
        <v>-0.5</v>
      </c>
      <c r="R18" s="32">
        <f t="shared" si="5"/>
        <v>5.4480000000000004</v>
      </c>
      <c r="S18" s="32">
        <f t="shared" si="6"/>
        <v>-0.54800000000000004</v>
      </c>
    </row>
    <row r="19" spans="1:19" ht="12" customHeight="1" x14ac:dyDescent="0.3">
      <c r="A19" s="33">
        <v>42736</v>
      </c>
      <c r="B19" s="8">
        <v>4.4000000000000004</v>
      </c>
      <c r="C19" s="8">
        <v>2097222</v>
      </c>
      <c r="D19" s="8">
        <v>2599961</v>
      </c>
      <c r="E19" s="8">
        <v>103.583333333333</v>
      </c>
      <c r="F19" s="8">
        <v>65964000</v>
      </c>
      <c r="G19" s="3"/>
      <c r="H19" s="32">
        <f t="shared" si="0"/>
        <v>80.663594569303157</v>
      </c>
      <c r="I19" s="32">
        <f t="shared" si="1"/>
        <v>141.64893710719721</v>
      </c>
      <c r="J19" s="32">
        <f t="shared" si="2"/>
        <v>39414.847492571709</v>
      </c>
      <c r="K19" s="32">
        <f t="shared" si="3"/>
        <v>119.65108671072548</v>
      </c>
      <c r="L19" s="32">
        <f t="shared" si="7"/>
        <v>3.0232221788549589</v>
      </c>
      <c r="M19" s="32">
        <f t="array" ref="M19">TREND($D$2:$D$26,$A$2:$A$26,A19)</f>
        <v>2529288.923723246</v>
      </c>
      <c r="N19" s="32">
        <f t="shared" si="4"/>
        <v>2.7941480158273508</v>
      </c>
      <c r="O19" s="32">
        <f t="shared" si="8"/>
        <v>2.5577557755772298</v>
      </c>
      <c r="P19" s="32">
        <f t="shared" si="9"/>
        <v>1.5425278344438302</v>
      </c>
      <c r="Q19" s="32">
        <f t="shared" si="10"/>
        <v>-0.5</v>
      </c>
      <c r="R19" s="32">
        <f t="shared" si="5"/>
        <v>5.4480000000000004</v>
      </c>
      <c r="S19" s="32">
        <f t="shared" si="6"/>
        <v>-1.048</v>
      </c>
    </row>
    <row r="20" spans="1:19" ht="12" customHeight="1" x14ac:dyDescent="0.3">
      <c r="A20" s="33">
        <v>43101</v>
      </c>
      <c r="B20" s="8">
        <v>4.0999999999999996</v>
      </c>
      <c r="C20" s="8">
        <v>2171559</v>
      </c>
      <c r="D20" s="8">
        <v>2640295</v>
      </c>
      <c r="E20" s="8">
        <v>105.958333333333</v>
      </c>
      <c r="F20" s="8">
        <v>66287000</v>
      </c>
      <c r="G20" s="3"/>
      <c r="H20" s="32">
        <f t="shared" si="0"/>
        <v>82.246832266848969</v>
      </c>
      <c r="I20" s="32">
        <f t="shared" si="1"/>
        <v>144.42917444031943</v>
      </c>
      <c r="J20" s="32">
        <f t="shared" si="2"/>
        <v>39831.264048757672</v>
      </c>
      <c r="K20" s="32">
        <f t="shared" si="3"/>
        <v>120.91519647244353</v>
      </c>
      <c r="L20" s="32">
        <f t="shared" si="7"/>
        <v>1.5513309622721265</v>
      </c>
      <c r="M20" s="32">
        <f t="array" ref="M20">TREND($D$2:$D$26,$A$2:$A$26,A20)</f>
        <v>2561539.0075706295</v>
      </c>
      <c r="N20" s="32">
        <f t="shared" si="4"/>
        <v>3.0745576076181997</v>
      </c>
      <c r="O20" s="32">
        <f t="shared" si="8"/>
        <v>2.29283990345938</v>
      </c>
      <c r="P20" s="32">
        <f t="shared" si="9"/>
        <v>1.962766110287278</v>
      </c>
      <c r="Q20" s="32">
        <f t="shared" si="10"/>
        <v>-0.30000000000000071</v>
      </c>
      <c r="R20" s="32">
        <f t="shared" si="5"/>
        <v>5.4480000000000004</v>
      </c>
      <c r="S20" s="32">
        <f t="shared" si="6"/>
        <v>-1.3480000000000008</v>
      </c>
    </row>
    <row r="21" spans="1:19" ht="12" customHeight="1" x14ac:dyDescent="0.3">
      <c r="A21" s="33">
        <v>43466</v>
      </c>
      <c r="B21" s="8">
        <v>3.9</v>
      </c>
      <c r="C21" s="8">
        <v>2252961</v>
      </c>
      <c r="D21" s="8">
        <v>2673465</v>
      </c>
      <c r="E21" s="8">
        <v>107.799999999999</v>
      </c>
      <c r="F21" s="8">
        <v>66628000</v>
      </c>
      <c r="G21" s="3"/>
      <c r="H21" s="32">
        <f t="shared" si="0"/>
        <v>84.271198613035892</v>
      </c>
      <c r="I21" s="32">
        <f t="shared" si="1"/>
        <v>147.98405372364462</v>
      </c>
      <c r="J21" s="32">
        <f t="shared" si="2"/>
        <v>40125.247643633309</v>
      </c>
      <c r="K21" s="32">
        <f t="shared" si="3"/>
        <v>121.80763825110638</v>
      </c>
      <c r="L21" s="32">
        <f t="shared" si="7"/>
        <v>1.2562990120422148</v>
      </c>
      <c r="M21" s="32">
        <f t="array" ref="M21">TREND($D$2:$D$26,$A$2:$A$26,A21)</f>
        <v>2593789.091418013</v>
      </c>
      <c r="N21" s="32">
        <f t="shared" si="4"/>
        <v>3.071795962347446</v>
      </c>
      <c r="O21" s="32">
        <f t="shared" si="8"/>
        <v>1.7381046008644967</v>
      </c>
      <c r="P21" s="32">
        <f t="shared" si="9"/>
        <v>2.4613304736392623</v>
      </c>
      <c r="Q21" s="32">
        <f t="shared" si="10"/>
        <v>-0.19999999999999973</v>
      </c>
      <c r="R21" s="32">
        <f t="shared" si="5"/>
        <v>5.4480000000000004</v>
      </c>
      <c r="S21" s="32">
        <f t="shared" si="6"/>
        <v>-1.5480000000000005</v>
      </c>
    </row>
    <row r="22" spans="1:19" ht="12" customHeight="1" x14ac:dyDescent="0.3">
      <c r="A22" s="33">
        <v>43831</v>
      </c>
      <c r="B22" s="8">
        <v>4.5999999999999996</v>
      </c>
      <c r="C22" s="8">
        <v>2124720</v>
      </c>
      <c r="D22" s="8">
        <v>2404838</v>
      </c>
      <c r="E22" s="8">
        <v>108.86666666666601</v>
      </c>
      <c r="F22" s="8">
        <v>66740000</v>
      </c>
      <c r="G22" s="3"/>
      <c r="H22" s="32">
        <f t="shared" si="0"/>
        <v>88.351897300358701</v>
      </c>
      <c r="I22" s="32">
        <f t="shared" si="1"/>
        <v>155.14994602983725</v>
      </c>
      <c r="J22" s="32">
        <f t="shared" si="2"/>
        <v>36032.933772849865</v>
      </c>
      <c r="K22" s="32">
        <f t="shared" si="3"/>
        <v>109.38465978105405</v>
      </c>
      <c r="L22" s="32">
        <f t="shared" si="7"/>
        <v>-10.047896643494491</v>
      </c>
      <c r="M22" s="32">
        <f t="array" ref="M22">TREND($D$2:$D$26,$A$2:$A$26,A22)</f>
        <v>2626039.1752653965</v>
      </c>
      <c r="N22" s="32">
        <f t="shared" si="4"/>
        <v>-8.4233768235023039</v>
      </c>
      <c r="O22" s="32">
        <f t="shared" si="8"/>
        <v>0.98948670377274006</v>
      </c>
      <c r="P22" s="32">
        <f t="shared" si="9"/>
        <v>4.8423408643573822</v>
      </c>
      <c r="Q22" s="32">
        <f t="shared" si="10"/>
        <v>0.69999999999999973</v>
      </c>
      <c r="R22" s="32">
        <f t="shared" si="5"/>
        <v>5.4480000000000004</v>
      </c>
      <c r="S22" s="32">
        <f t="shared" si="6"/>
        <v>-0.84800000000000075</v>
      </c>
    </row>
    <row r="23" spans="1:19" ht="12" customHeight="1" x14ac:dyDescent="0.3">
      <c r="A23" s="33">
        <v>44197</v>
      </c>
      <c r="B23" s="8">
        <v>4.5</v>
      </c>
      <c r="C23" s="8">
        <v>2322652</v>
      </c>
      <c r="D23" s="8">
        <v>2610286</v>
      </c>
      <c r="E23" s="8">
        <v>111.60833333333299</v>
      </c>
      <c r="F23" s="8">
        <v>66978000</v>
      </c>
      <c r="G23" s="3"/>
      <c r="H23" s="32">
        <f t="shared" si="0"/>
        <v>88.980747703508356</v>
      </c>
      <c r="I23" s="32">
        <f t="shared" si="1"/>
        <v>156.25423591031179</v>
      </c>
      <c r="J23" s="32">
        <f t="shared" si="2"/>
        <v>38972.289408462479</v>
      </c>
      <c r="K23" s="32">
        <f t="shared" si="3"/>
        <v>118.30761948796722</v>
      </c>
      <c r="L23" s="32">
        <f t="shared" si="7"/>
        <v>8.5431118437083917</v>
      </c>
      <c r="M23" s="32">
        <f t="array" ref="M23">TREND($D$2:$D$26,$A$2:$A$26,A23)</f>
        <v>2658377.6155068828</v>
      </c>
      <c r="N23" s="32">
        <f t="shared" si="4"/>
        <v>-1.8090588495161164</v>
      </c>
      <c r="O23" s="32">
        <f t="shared" si="8"/>
        <v>2.5183710961423791</v>
      </c>
      <c r="P23" s="32">
        <f t="shared" si="9"/>
        <v>0.71175653535977057</v>
      </c>
      <c r="Q23" s="32">
        <f t="shared" si="10"/>
        <v>-9.9999999999999645E-2</v>
      </c>
      <c r="R23" s="32">
        <f t="shared" si="5"/>
        <v>5.4480000000000004</v>
      </c>
      <c r="S23" s="32">
        <f t="shared" si="6"/>
        <v>-0.9480000000000004</v>
      </c>
    </row>
    <row r="24" spans="1:19" ht="12" customHeight="1" x14ac:dyDescent="0.3">
      <c r="A24" s="33">
        <v>44562</v>
      </c>
      <c r="B24" s="8">
        <v>3.8</v>
      </c>
      <c r="C24" s="8">
        <v>2580949</v>
      </c>
      <c r="D24" s="8">
        <v>2744708</v>
      </c>
      <c r="E24" s="8">
        <v>120.45</v>
      </c>
      <c r="F24" s="8">
        <v>67636000</v>
      </c>
      <c r="G24" s="3"/>
      <c r="H24" s="32">
        <f t="shared" si="0"/>
        <v>94.033645837735747</v>
      </c>
      <c r="I24" s="32">
        <f t="shared" si="1"/>
        <v>165.12735461827259</v>
      </c>
      <c r="J24" s="32">
        <f t="shared" si="2"/>
        <v>40580.578390206399</v>
      </c>
      <c r="K24" s="32">
        <f t="shared" si="3"/>
        <v>123.18987926194738</v>
      </c>
      <c r="L24" s="32">
        <f t="shared" si="7"/>
        <v>5.1497039021777695</v>
      </c>
      <c r="M24" s="32">
        <f t="array" ref="M24">TREND($D$2:$D$26,$A$2:$A$26,A24)</f>
        <v>2690627.6993542663</v>
      </c>
      <c r="N24" s="32">
        <f t="shared" si="4"/>
        <v>2.009951085343864</v>
      </c>
      <c r="O24" s="32">
        <f t="shared" si="8"/>
        <v>7.9220488314794624</v>
      </c>
      <c r="P24" s="32">
        <f t="shared" si="9"/>
        <v>5.6786420260977017</v>
      </c>
      <c r="Q24" s="32">
        <f t="shared" si="10"/>
        <v>-0.70000000000000018</v>
      </c>
      <c r="R24" s="32">
        <f t="shared" si="5"/>
        <v>5.4480000000000004</v>
      </c>
      <c r="S24" s="32">
        <f t="shared" si="6"/>
        <v>-1.6480000000000006</v>
      </c>
    </row>
    <row r="25" spans="1:19" ht="12" customHeight="1" x14ac:dyDescent="0.3">
      <c r="A25" s="33">
        <v>44927</v>
      </c>
      <c r="B25" s="8">
        <v>4.0999999999999996</v>
      </c>
      <c r="C25" s="8">
        <v>2752164</v>
      </c>
      <c r="D25" s="8">
        <v>2752164</v>
      </c>
      <c r="E25" s="8">
        <v>128.63333333333301</v>
      </c>
      <c r="F25" s="8">
        <v>68526000</v>
      </c>
      <c r="G25" s="3"/>
      <c r="H25" s="32">
        <f t="shared" si="0"/>
        <v>100</v>
      </c>
      <c r="I25" s="32">
        <f t="shared" si="1"/>
        <v>175.60454361539485</v>
      </c>
      <c r="J25" s="32">
        <f t="shared" si="2"/>
        <v>40162.33254531127</v>
      </c>
      <c r="K25" s="32">
        <f t="shared" si="3"/>
        <v>121.92021635475538</v>
      </c>
      <c r="L25" s="32">
        <f t="shared" si="7"/>
        <v>0.27165002615943112</v>
      </c>
      <c r="M25" s="32">
        <f t="array" ref="M25">TREND($D$2:$D$26,$A$2:$A$26,A25)</f>
        <v>2722877.7832016498</v>
      </c>
      <c r="N25" s="32">
        <f t="shared" si="4"/>
        <v>1.0755611940802761</v>
      </c>
      <c r="O25" s="32">
        <f t="shared" si="8"/>
        <v>6.793967067939402</v>
      </c>
      <c r="P25" s="32">
        <f t="shared" si="9"/>
        <v>6.3449142156625298</v>
      </c>
      <c r="Q25" s="32">
        <f t="shared" si="10"/>
        <v>0.29999999999999982</v>
      </c>
      <c r="R25" s="32">
        <f t="shared" si="5"/>
        <v>5.4480000000000004</v>
      </c>
      <c r="S25" s="32">
        <f t="shared" si="6"/>
        <v>-1.3480000000000008</v>
      </c>
    </row>
    <row r="26" spans="1:19" ht="12" customHeight="1" x14ac:dyDescent="0.3">
      <c r="A26" s="33">
        <v>45292</v>
      </c>
      <c r="B26" s="8">
        <v>4.3</v>
      </c>
      <c r="C26" s="8">
        <v>2890254</v>
      </c>
      <c r="D26" s="8">
        <v>2780853</v>
      </c>
      <c r="E26" s="8">
        <v>132.84166666666599</v>
      </c>
      <c r="F26" s="8">
        <v>69281000</v>
      </c>
      <c r="G26" s="3"/>
      <c r="H26" s="32">
        <f t="shared" si="0"/>
        <v>103.93408065798515</v>
      </c>
      <c r="I26" s="32">
        <f t="shared" si="1"/>
        <v>182.51296800031119</v>
      </c>
      <c r="J26" s="32">
        <f t="shared" si="2"/>
        <v>40138.753770875133</v>
      </c>
      <c r="K26" s="32">
        <f t="shared" si="3"/>
        <v>121.84863860768628</v>
      </c>
      <c r="L26" s="32">
        <f t="shared" si="7"/>
        <v>1.0424160769489028</v>
      </c>
      <c r="M26" s="32">
        <f t="array" ref="M26">TREND($D$2:$D$26,$A$2:$A$26,A26)</f>
        <v>2755127.8670490333</v>
      </c>
      <c r="N26" s="32">
        <f t="shared" si="4"/>
        <v>0.93371829520640104</v>
      </c>
      <c r="O26" s="32">
        <f t="shared" si="8"/>
        <v>3.271572946358889</v>
      </c>
      <c r="P26" s="32">
        <f t="shared" si="9"/>
        <v>3.9340806579851484</v>
      </c>
      <c r="Q26" s="32">
        <f t="shared" si="10"/>
        <v>0.20000000000000018</v>
      </c>
      <c r="R26" s="32">
        <f t="shared" si="5"/>
        <v>5.4480000000000004</v>
      </c>
      <c r="S26" s="32">
        <f t="shared" si="6"/>
        <v>-1.1480000000000006</v>
      </c>
    </row>
    <row r="27" spans="1:19" ht="12" customHeight="1" x14ac:dyDescent="0.3">
      <c r="A27" s="49" t="s">
        <v>18</v>
      </c>
      <c r="B27" s="12" t="s">
        <v>162</v>
      </c>
      <c r="C27" s="12" t="s">
        <v>163</v>
      </c>
      <c r="D27" s="12" t="s">
        <v>164</v>
      </c>
      <c r="E27" s="12" t="s">
        <v>165</v>
      </c>
      <c r="F27" s="12" t="s">
        <v>166</v>
      </c>
      <c r="G27" s="25"/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</row>
    <row r="28" spans="1:19" ht="36.75" customHeight="1" x14ac:dyDescent="0.3">
      <c r="A28" s="52"/>
      <c r="B28" s="11"/>
      <c r="C28" s="11"/>
      <c r="D28" s="11"/>
      <c r="E28" s="11"/>
      <c r="F28" s="11"/>
      <c r="G28" s="24"/>
      <c r="H28" s="7" t="s">
        <v>25</v>
      </c>
      <c r="I28" s="7" t="s">
        <v>26</v>
      </c>
      <c r="J28" s="7" t="s">
        <v>167</v>
      </c>
      <c r="K28" s="7" t="s">
        <v>28</v>
      </c>
      <c r="L28" s="7" t="s">
        <v>29</v>
      </c>
      <c r="M28" s="7" t="s">
        <v>30</v>
      </c>
      <c r="N28" s="7" t="s">
        <v>31</v>
      </c>
      <c r="O28" s="7" t="s">
        <v>32</v>
      </c>
      <c r="P28" s="7" t="s">
        <v>33</v>
      </c>
      <c r="Q28" s="7" t="s">
        <v>34</v>
      </c>
      <c r="R28" s="7" t="s">
        <v>35</v>
      </c>
      <c r="S28" s="7" t="s">
        <v>36</v>
      </c>
    </row>
    <row r="29" spans="1:19" ht="12" customHeight="1" x14ac:dyDescent="0.3">
      <c r="A29" s="52" t="s">
        <v>37</v>
      </c>
      <c r="B29" s="11" t="s">
        <v>38</v>
      </c>
      <c r="C29" s="11" t="s">
        <v>38</v>
      </c>
      <c r="D29" s="11" t="s">
        <v>38</v>
      </c>
      <c r="E29" s="11" t="s">
        <v>38</v>
      </c>
      <c r="F29" s="11" t="s">
        <v>38</v>
      </c>
      <c r="G29" s="24" t="s">
        <v>39</v>
      </c>
      <c r="H29" s="7" t="s">
        <v>38</v>
      </c>
      <c r="I29" s="7" t="s">
        <v>38</v>
      </c>
      <c r="J29" s="7" t="s">
        <v>38</v>
      </c>
      <c r="K29" s="7" t="s">
        <v>38</v>
      </c>
      <c r="L29" s="7" t="s">
        <v>40</v>
      </c>
      <c r="M29" s="7" t="s">
        <v>38</v>
      </c>
      <c r="N29" s="7" t="s">
        <v>38</v>
      </c>
      <c r="O29" s="7" t="s">
        <v>40</v>
      </c>
      <c r="P29" s="7" t="s">
        <v>40</v>
      </c>
      <c r="Q29" s="7" t="s">
        <v>40</v>
      </c>
      <c r="R29" s="7" t="s">
        <v>38</v>
      </c>
      <c r="S29" s="7" t="s">
        <v>38</v>
      </c>
    </row>
    <row r="30" spans="1:19" ht="24" customHeight="1" x14ac:dyDescent="0.3">
      <c r="A30" s="52" t="s">
        <v>41</v>
      </c>
      <c r="B30" s="11" t="s">
        <v>83</v>
      </c>
      <c r="C30" s="11" t="s">
        <v>168</v>
      </c>
      <c r="D30" s="11" t="s">
        <v>169</v>
      </c>
      <c r="E30" s="11" t="s">
        <v>86</v>
      </c>
      <c r="F30" s="11" t="s">
        <v>87</v>
      </c>
      <c r="G30" s="24" t="s">
        <v>47</v>
      </c>
      <c r="H30" s="7" t="s">
        <v>48</v>
      </c>
      <c r="I30" s="7" t="s">
        <v>49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54</v>
      </c>
      <c r="O30" s="7" t="s">
        <v>55</v>
      </c>
      <c r="P30" s="7" t="s">
        <v>49</v>
      </c>
      <c r="Q30" s="7" t="s">
        <v>56</v>
      </c>
      <c r="R30" s="7" t="s">
        <v>56</v>
      </c>
      <c r="S30" s="7" t="s">
        <v>57</v>
      </c>
    </row>
    <row r="31" spans="1:19" ht="48.75" customHeight="1" x14ac:dyDescent="0.3">
      <c r="A31" s="52" t="s">
        <v>58</v>
      </c>
      <c r="B31" s="11" t="s">
        <v>59</v>
      </c>
      <c r="C31" s="11" t="s">
        <v>90</v>
      </c>
      <c r="D31" s="11" t="s">
        <v>90</v>
      </c>
      <c r="E31" s="11" t="s">
        <v>59</v>
      </c>
      <c r="F31" s="11" t="s">
        <v>90</v>
      </c>
      <c r="G31" s="24" t="s">
        <v>61</v>
      </c>
      <c r="H31" s="7" t="s">
        <v>62</v>
      </c>
      <c r="I31" s="7" t="s">
        <v>63</v>
      </c>
      <c r="J31" s="7" t="s">
        <v>170</v>
      </c>
      <c r="K31" s="7" t="s">
        <v>65</v>
      </c>
      <c r="L31" s="7" t="s">
        <v>66</v>
      </c>
      <c r="M31" s="7" t="s">
        <v>67</v>
      </c>
      <c r="N31" s="7" t="s">
        <v>68</v>
      </c>
      <c r="O31" s="7" t="s">
        <v>69</v>
      </c>
      <c r="P31" s="7" t="s">
        <v>70</v>
      </c>
      <c r="Q31" s="7" t="s">
        <v>71</v>
      </c>
      <c r="R31" s="7" t="s">
        <v>72</v>
      </c>
      <c r="S31" s="7" t="s">
        <v>73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1"/>
  <sheetViews>
    <sheetView topLeftCell="E30" zoomScale="45" zoomScaleNormal="40" workbookViewId="0">
      <selection activeCell="G1" sqref="G1:G26"/>
    </sheetView>
  </sheetViews>
  <sheetFormatPr defaultColWidth="8.77734375" defaultRowHeight="14.25" customHeight="1" x14ac:dyDescent="0.3"/>
  <cols>
    <col min="1" max="1" width="23.77734375" style="1" customWidth="1"/>
    <col min="2" max="2" width="27.44140625" style="1" customWidth="1"/>
    <col min="3" max="3" width="33.21875" style="1" customWidth="1"/>
    <col min="4" max="4" width="63.33203125" style="1" customWidth="1"/>
    <col min="5" max="6" width="27.44140625" style="1" customWidth="1"/>
    <col min="7" max="7" width="10.44140625" style="1" customWidth="1"/>
    <col min="8" max="8" width="17.6640625" style="1" customWidth="1"/>
    <col min="9" max="9" width="34.33203125" style="1" customWidth="1"/>
    <col min="10" max="10" width="37.88671875" style="1" customWidth="1"/>
    <col min="11" max="11" width="42" style="1" customWidth="1"/>
    <col min="12" max="12" width="23.77734375" style="1" customWidth="1"/>
    <col min="13" max="13" width="31.33203125" style="1" customWidth="1"/>
    <col min="14" max="14" width="27" style="1" customWidth="1"/>
    <col min="15" max="15" width="23.77734375" style="1" customWidth="1"/>
    <col min="16" max="16" width="34.21875" style="1" customWidth="1"/>
    <col min="17" max="17" width="39.109375" style="1" customWidth="1"/>
    <col min="18" max="18" width="36.21875" style="1" customWidth="1"/>
    <col min="19" max="19" width="27.21875" style="1" customWidth="1"/>
    <col min="20" max="21" width="8.77734375" style="1"/>
    <col min="22" max="22" width="13.5546875" style="1" customWidth="1"/>
    <col min="23" max="24" width="15" style="1" customWidth="1"/>
    <col min="25" max="16384" width="8.77734375" style="1"/>
  </cols>
  <sheetData>
    <row r="1" spans="1:24" ht="32.25" customHeight="1" x14ac:dyDescent="0.3">
      <c r="A1" s="30" t="s">
        <v>0</v>
      </c>
      <c r="B1" s="31" t="s">
        <v>171</v>
      </c>
      <c r="C1" s="31" t="s">
        <v>172</v>
      </c>
      <c r="D1" s="31" t="s">
        <v>173</v>
      </c>
      <c r="E1" s="31" t="s">
        <v>174</v>
      </c>
      <c r="F1" s="31" t="s">
        <v>96</v>
      </c>
      <c r="G1" s="31"/>
      <c r="H1" s="31" t="s">
        <v>6</v>
      </c>
      <c r="I1" s="31" t="s">
        <v>7</v>
      </c>
      <c r="J1" s="31" t="s">
        <v>175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U1" s="41" t="s">
        <v>0</v>
      </c>
      <c r="V1" s="41" t="s">
        <v>176</v>
      </c>
      <c r="W1" s="41" t="s">
        <v>177</v>
      </c>
      <c r="X1" s="41" t="s">
        <v>178</v>
      </c>
    </row>
    <row r="2" spans="1:24" ht="17.25" customHeight="1" x14ac:dyDescent="0.3">
      <c r="A2" s="28">
        <v>2000</v>
      </c>
      <c r="B2" s="2"/>
      <c r="C2" s="2">
        <v>628070.07999999996</v>
      </c>
      <c r="D2" s="47">
        <f t="shared" ref="D2:D12" si="0">$X$18*($W$13/$W$18)*(V2/$V$13)</f>
        <v>36661889.948275268</v>
      </c>
      <c r="E2" s="2">
        <v>2.5299999999999998</v>
      </c>
      <c r="F2" s="2">
        <v>64219319</v>
      </c>
      <c r="G2" s="3"/>
      <c r="H2" s="32">
        <f t="shared" ref="H2:H26" si="1">C2/D2*100</f>
        <v>1.713141578042261</v>
      </c>
      <c r="I2" s="32">
        <f t="shared" ref="I2:I26" si="2">H2/$H$2*100</f>
        <v>100</v>
      </c>
      <c r="J2" s="32">
        <f t="shared" ref="J2:J26" si="3">(D2*1000000000)/F2</f>
        <v>570885685.47846591</v>
      </c>
      <c r="K2" s="32">
        <f t="shared" ref="K2:K26" si="4">J2/$J$2*100</f>
        <v>100</v>
      </c>
      <c r="L2" s="32"/>
      <c r="M2" s="32">
        <f t="array" ref="M2">TREND($D$2:$D$26,$A$2:$A$26,A2)</f>
        <v>40074525.672807217</v>
      </c>
      <c r="N2" s="32">
        <f t="shared" ref="N2:N26" si="5">(D2-M2)/M2*100</f>
        <v>-8.515723311099876</v>
      </c>
      <c r="O2" s="32"/>
      <c r="P2" s="32"/>
      <c r="Q2" s="32"/>
      <c r="R2" s="32">
        <f t="shared" ref="R2:R26" si="6">AVERAGE($B$2:$B$26)</f>
        <v>10.835650000000001</v>
      </c>
      <c r="S2" s="32"/>
      <c r="U2" s="54">
        <v>2000</v>
      </c>
      <c r="V2" s="17">
        <v>1261465.96751588</v>
      </c>
      <c r="W2" s="17"/>
      <c r="X2" s="17"/>
    </row>
    <row r="3" spans="1:24" ht="17.25" customHeight="1" x14ac:dyDescent="0.3">
      <c r="A3" s="28">
        <v>2001</v>
      </c>
      <c r="B3" s="2"/>
      <c r="C3" s="2">
        <v>738307.45</v>
      </c>
      <c r="D3" s="47">
        <f t="shared" si="0"/>
        <v>37538905.675350107</v>
      </c>
      <c r="E3" s="2">
        <v>2.8220000000000001</v>
      </c>
      <c r="F3" s="2">
        <v>65301307</v>
      </c>
      <c r="G3" s="3"/>
      <c r="H3" s="32">
        <f t="shared" si="1"/>
        <v>1.9667793632162509</v>
      </c>
      <c r="I3" s="32">
        <f t="shared" si="2"/>
        <v>114.80541879462416</v>
      </c>
      <c r="J3" s="32">
        <f t="shared" si="3"/>
        <v>574856881.12414205</v>
      </c>
      <c r="K3" s="32">
        <f t="shared" si="4"/>
        <v>100.69562011216797</v>
      </c>
      <c r="L3" s="32">
        <f t="shared" ref="L3:L26" si="7">(D3-D2)/D2*100</f>
        <v>2.3921727120783576</v>
      </c>
      <c r="M3" s="32">
        <f t="array" ref="M3">TREND($D$2:$D$26,$A$2:$A$26,A3)</f>
        <v>41673279.297335625</v>
      </c>
      <c r="N3" s="32">
        <f t="shared" si="5"/>
        <v>-9.9209222112977518</v>
      </c>
      <c r="O3" s="32">
        <f t="shared" ref="O3:O26" si="8">(E3-E2)/E2*100</f>
        <v>11.541501976284597</v>
      </c>
      <c r="P3" s="32">
        <f t="shared" ref="P3:P26" si="9">(H3-H2)/H2*100</f>
        <v>14.805418794624167</v>
      </c>
      <c r="Q3" s="32"/>
      <c r="R3" s="32">
        <f t="shared" si="6"/>
        <v>10.835650000000001</v>
      </c>
      <c r="S3" s="32"/>
      <c r="U3" s="54">
        <v>2001</v>
      </c>
      <c r="V3" s="17">
        <v>1291642.41216295</v>
      </c>
      <c r="W3" s="17"/>
      <c r="X3" s="17"/>
    </row>
    <row r="4" spans="1:24" ht="17.25" customHeight="1" x14ac:dyDescent="0.3">
      <c r="A4" s="28">
        <v>2002</v>
      </c>
      <c r="B4" s="2"/>
      <c r="C4" s="2">
        <v>1023613.01</v>
      </c>
      <c r="D4" s="47">
        <f t="shared" si="0"/>
        <v>40571609.7783489</v>
      </c>
      <c r="E4" s="2">
        <v>3.1949999999999998</v>
      </c>
      <c r="F4" s="2">
        <v>66300418</v>
      </c>
      <c r="G4" s="3"/>
      <c r="H4" s="32">
        <f t="shared" si="1"/>
        <v>2.5229785448302637</v>
      </c>
      <c r="I4" s="32">
        <f t="shared" si="2"/>
        <v>147.27203969408447</v>
      </c>
      <c r="J4" s="32">
        <f t="shared" si="3"/>
        <v>611935957.60359919</v>
      </c>
      <c r="K4" s="32">
        <f t="shared" si="4"/>
        <v>107.19062908202517</v>
      </c>
      <c r="L4" s="32">
        <f t="shared" si="7"/>
        <v>8.0788292797523287</v>
      </c>
      <c r="M4" s="32">
        <f t="array" ref="M4">TREND($D$2:$D$26,$A$2:$A$26,A4)</f>
        <v>43272032.92186451</v>
      </c>
      <c r="N4" s="32">
        <f t="shared" si="5"/>
        <v>-6.240573786749775</v>
      </c>
      <c r="O4" s="32">
        <f t="shared" si="8"/>
        <v>13.217576187101338</v>
      </c>
      <c r="P4" s="32">
        <f t="shared" si="9"/>
        <v>28.279693798722139</v>
      </c>
      <c r="Q4" s="32"/>
      <c r="R4" s="32">
        <f t="shared" si="6"/>
        <v>10.835650000000001</v>
      </c>
      <c r="S4" s="32"/>
      <c r="U4" s="54">
        <v>2002</v>
      </c>
      <c r="V4" s="17">
        <v>1395991.99754647</v>
      </c>
      <c r="W4" s="17"/>
      <c r="X4" s="17"/>
    </row>
    <row r="5" spans="1:24" ht="17.25" customHeight="1" x14ac:dyDescent="0.3">
      <c r="A5" s="28">
        <v>2003</v>
      </c>
      <c r="B5" s="2"/>
      <c r="C5" s="2">
        <v>1258128.74</v>
      </c>
      <c r="D5" s="47">
        <f t="shared" si="0"/>
        <v>44076712.211648256</v>
      </c>
      <c r="E5" s="2">
        <v>3.6389999999999998</v>
      </c>
      <c r="F5" s="2">
        <v>67314814</v>
      </c>
      <c r="G5" s="3"/>
      <c r="H5" s="32">
        <f t="shared" si="1"/>
        <v>2.8544069574851623</v>
      </c>
      <c r="I5" s="32">
        <f t="shared" si="2"/>
        <v>166.61827569132456</v>
      </c>
      <c r="J5" s="32">
        <f t="shared" si="3"/>
        <v>654784728.53907394</v>
      </c>
      <c r="K5" s="32">
        <f t="shared" si="4"/>
        <v>114.69629475650476</v>
      </c>
      <c r="L5" s="32">
        <f t="shared" si="7"/>
        <v>8.6392983972005428</v>
      </c>
      <c r="M5" s="32">
        <f t="array" ref="M5">TREND($D$2:$D$26,$A$2:$A$26,A5)</f>
        <v>44870786.546392918</v>
      </c>
      <c r="N5" s="32">
        <f t="shared" si="5"/>
        <v>-1.7696911417490993</v>
      </c>
      <c r="O5" s="32">
        <f t="shared" si="8"/>
        <v>13.896713615023474</v>
      </c>
      <c r="P5" s="32">
        <f t="shared" si="9"/>
        <v>13.136394415006638</v>
      </c>
      <c r="Q5" s="32"/>
      <c r="R5" s="32">
        <f t="shared" si="6"/>
        <v>10.835650000000001</v>
      </c>
      <c r="S5" s="32"/>
      <c r="U5" s="54">
        <v>2003</v>
      </c>
      <c r="V5" s="17">
        <v>1516595.9118155499</v>
      </c>
      <c r="W5" s="17"/>
      <c r="X5" s="17"/>
    </row>
    <row r="6" spans="1:24" ht="17.25" customHeight="1" x14ac:dyDescent="0.3">
      <c r="A6" s="28">
        <v>2004</v>
      </c>
      <c r="B6" s="2"/>
      <c r="C6" s="2">
        <v>1582365.59</v>
      </c>
      <c r="D6" s="47">
        <f t="shared" si="0"/>
        <v>45988171.994576909</v>
      </c>
      <c r="E6" s="2">
        <v>4.1710000000000003</v>
      </c>
      <c r="F6" s="2">
        <v>68344730</v>
      </c>
      <c r="G6" s="3"/>
      <c r="H6" s="32">
        <f t="shared" si="1"/>
        <v>3.4408099330119022</v>
      </c>
      <c r="I6" s="32">
        <f t="shared" si="2"/>
        <v>200.84796126097069</v>
      </c>
      <c r="J6" s="32">
        <f t="shared" si="3"/>
        <v>672885414.78731298</v>
      </c>
      <c r="K6" s="32">
        <f t="shared" si="4"/>
        <v>117.86692711052299</v>
      </c>
      <c r="L6" s="32">
        <f t="shared" si="7"/>
        <v>4.336665978510772</v>
      </c>
      <c r="M6" s="32">
        <f t="array" ref="M6">TREND($D$2:$D$26,$A$2:$A$26,A6)</f>
        <v>46469540.170921326</v>
      </c>
      <c r="N6" s="32">
        <f t="shared" si="5"/>
        <v>-1.0358789318204549</v>
      </c>
      <c r="O6" s="32">
        <f t="shared" si="8"/>
        <v>14.619400934322629</v>
      </c>
      <c r="P6" s="32">
        <f t="shared" si="9"/>
        <v>20.543776141976007</v>
      </c>
      <c r="Q6" s="32"/>
      <c r="R6" s="32">
        <f t="shared" si="6"/>
        <v>10.835650000000001</v>
      </c>
      <c r="S6" s="32"/>
      <c r="U6" s="54">
        <v>2004</v>
      </c>
      <c r="V6" s="17">
        <v>1582365.61075474</v>
      </c>
      <c r="W6" s="17"/>
      <c r="X6" s="17"/>
    </row>
    <row r="7" spans="1:24" ht="17.25" customHeight="1" x14ac:dyDescent="0.3">
      <c r="A7" s="28">
        <v>2005</v>
      </c>
      <c r="B7" s="2">
        <v>11.574999999999999</v>
      </c>
      <c r="C7" s="2">
        <v>1970690.26</v>
      </c>
      <c r="D7" s="47">
        <f t="shared" si="0"/>
        <v>47923671.75424663</v>
      </c>
      <c r="E7" s="2">
        <v>4.6760000000000002</v>
      </c>
      <c r="F7" s="2">
        <v>69390405</v>
      </c>
      <c r="G7" s="3"/>
      <c r="H7" s="32">
        <f t="shared" si="1"/>
        <v>4.1121437232642188</v>
      </c>
      <c r="I7" s="32">
        <f t="shared" si="2"/>
        <v>240.03525312621753</v>
      </c>
      <c r="J7" s="32">
        <f t="shared" si="3"/>
        <v>690638305.89036965</v>
      </c>
      <c r="K7" s="32">
        <f t="shared" si="4"/>
        <v>120.97663743513513</v>
      </c>
      <c r="L7" s="32">
        <f t="shared" si="7"/>
        <v>4.2086903560723448</v>
      </c>
      <c r="M7" s="32">
        <f t="array" ref="M7">TREND($D$2:$D$26,$A$2:$A$26,A7)</f>
        <v>48068293.795449734</v>
      </c>
      <c r="N7" s="32">
        <f t="shared" si="5"/>
        <v>-0.30086784818810075</v>
      </c>
      <c r="O7" s="32">
        <f t="shared" si="8"/>
        <v>12.10740829537281</v>
      </c>
      <c r="P7" s="32">
        <f t="shared" si="9"/>
        <v>19.510923396593043</v>
      </c>
      <c r="Q7" s="32"/>
      <c r="R7" s="32">
        <f t="shared" si="6"/>
        <v>10.835650000000001</v>
      </c>
      <c r="S7" s="32">
        <f t="shared" ref="S7:S26" si="10">B7-R7</f>
        <v>0.73934999999999818</v>
      </c>
      <c r="U7" s="54">
        <v>2005</v>
      </c>
      <c r="V7" s="17">
        <v>1648962.47961238</v>
      </c>
      <c r="W7" s="17"/>
      <c r="X7" s="17"/>
    </row>
    <row r="8" spans="1:24" ht="17.25" customHeight="1" x14ac:dyDescent="0.3">
      <c r="A8" s="28">
        <v>2006</v>
      </c>
      <c r="B8" s="2">
        <v>11.35</v>
      </c>
      <c r="C8" s="2">
        <v>2372025.35</v>
      </c>
      <c r="D8" s="47">
        <f t="shared" si="0"/>
        <v>50657358.719269268</v>
      </c>
      <c r="E8" s="2">
        <v>5.3159999999999998</v>
      </c>
      <c r="F8" s="2">
        <v>70495782</v>
      </c>
      <c r="G8" s="3"/>
      <c r="H8" s="32">
        <f t="shared" si="1"/>
        <v>4.6824891979567784</v>
      </c>
      <c r="I8" s="32">
        <f t="shared" si="2"/>
        <v>273.32762557241887</v>
      </c>
      <c r="J8" s="32">
        <f t="shared" si="3"/>
        <v>718587088.22138143</v>
      </c>
      <c r="K8" s="32">
        <f t="shared" si="4"/>
        <v>125.87232549352245</v>
      </c>
      <c r="L8" s="32">
        <f t="shared" si="7"/>
        <v>5.7042519175931048</v>
      </c>
      <c r="M8" s="32">
        <f t="array" ref="M8">TREND($D$2:$D$26,$A$2:$A$26,A8)</f>
        <v>49667047.419978619</v>
      </c>
      <c r="N8" s="32">
        <f t="shared" si="5"/>
        <v>1.9939000821141946</v>
      </c>
      <c r="O8" s="32">
        <f t="shared" si="8"/>
        <v>13.686911890504696</v>
      </c>
      <c r="P8" s="32">
        <f t="shared" si="9"/>
        <v>13.869784547311967</v>
      </c>
      <c r="Q8" s="32">
        <f t="shared" ref="Q8:Q26" si="11">B8-B7</f>
        <v>-0.22499999999999964</v>
      </c>
      <c r="R8" s="32">
        <f t="shared" si="6"/>
        <v>10.835650000000001</v>
      </c>
      <c r="S8" s="32">
        <f t="shared" si="10"/>
        <v>0.51434999999999853</v>
      </c>
      <c r="U8" s="54">
        <v>2006</v>
      </c>
      <c r="V8" s="17">
        <v>1743023.4534760599</v>
      </c>
      <c r="W8" s="17"/>
      <c r="X8" s="17"/>
    </row>
    <row r="9" spans="1:24" ht="17.25" customHeight="1" x14ac:dyDescent="0.3">
      <c r="A9" s="28">
        <v>2007</v>
      </c>
      <c r="B9" s="2">
        <v>10.6</v>
      </c>
      <c r="C9" s="2">
        <v>3132151.92</v>
      </c>
      <c r="D9" s="47">
        <f t="shared" si="0"/>
        <v>55275368.322959997</v>
      </c>
      <c r="E9" s="2">
        <v>6.2320000000000002</v>
      </c>
      <c r="F9" s="2">
        <v>71366189</v>
      </c>
      <c r="G9" s="3"/>
      <c r="H9" s="32">
        <f t="shared" si="1"/>
        <v>5.6664514684002256</v>
      </c>
      <c r="I9" s="32">
        <f t="shared" si="2"/>
        <v>330.76375829227828</v>
      </c>
      <c r="J9" s="32">
        <f t="shared" si="3"/>
        <v>774531596.78962255</v>
      </c>
      <c r="K9" s="32">
        <f t="shared" si="4"/>
        <v>135.67192460614575</v>
      </c>
      <c r="L9" s="32">
        <f t="shared" si="7"/>
        <v>9.1161673653034541</v>
      </c>
      <c r="M9" s="32">
        <f t="array" ref="M9">TREND($D$2:$D$26,$A$2:$A$26,A9)</f>
        <v>51265801.044507027</v>
      </c>
      <c r="N9" s="32">
        <f t="shared" si="5"/>
        <v>7.8211345512225892</v>
      </c>
      <c r="O9" s="32">
        <f t="shared" si="8"/>
        <v>17.231000752445453</v>
      </c>
      <c r="P9" s="32">
        <f t="shared" si="9"/>
        <v>21.013658096057174</v>
      </c>
      <c r="Q9" s="32">
        <f t="shared" si="11"/>
        <v>-0.75</v>
      </c>
      <c r="R9" s="32">
        <f t="shared" si="6"/>
        <v>10.835650000000001</v>
      </c>
      <c r="S9" s="32">
        <f t="shared" si="10"/>
        <v>-0.23565000000000147</v>
      </c>
      <c r="U9" s="54">
        <v>2007</v>
      </c>
      <c r="V9" s="17">
        <v>1901920.3887114299</v>
      </c>
      <c r="W9" s="17"/>
      <c r="X9" s="17"/>
    </row>
    <row r="10" spans="1:24" ht="17.25" customHeight="1" x14ac:dyDescent="0.3">
      <c r="A10" s="28">
        <v>2008</v>
      </c>
      <c r="B10" s="2">
        <v>10.475</v>
      </c>
      <c r="C10" s="2">
        <v>3744913.06</v>
      </c>
      <c r="D10" s="47">
        <f t="shared" si="0"/>
        <v>55785944.574243531</v>
      </c>
      <c r="E10" s="2">
        <v>7.8239999999999998</v>
      </c>
      <c r="F10" s="2">
        <v>72266219</v>
      </c>
      <c r="G10" s="3"/>
      <c r="H10" s="32">
        <f t="shared" si="1"/>
        <v>6.7130046619826054</v>
      </c>
      <c r="I10" s="32">
        <f t="shared" si="2"/>
        <v>391.85346663841256</v>
      </c>
      <c r="J10" s="32">
        <f t="shared" si="3"/>
        <v>771950509.46616602</v>
      </c>
      <c r="K10" s="32">
        <f t="shared" si="4"/>
        <v>135.21980478792096</v>
      </c>
      <c r="L10" s="32">
        <f t="shared" si="7"/>
        <v>0.92369579212998809</v>
      </c>
      <c r="M10" s="32">
        <f t="array" ref="M10">TREND($D$2:$D$26,$A$2:$A$26,A10)</f>
        <v>52864554.669035435</v>
      </c>
      <c r="N10" s="32">
        <f t="shared" si="5"/>
        <v>5.5261789747360783</v>
      </c>
      <c r="O10" s="32">
        <f t="shared" si="8"/>
        <v>25.545571245186128</v>
      </c>
      <c r="P10" s="32">
        <f t="shared" si="9"/>
        <v>18.469287161791339</v>
      </c>
      <c r="Q10" s="32">
        <f t="shared" si="11"/>
        <v>-0.125</v>
      </c>
      <c r="R10" s="32">
        <f t="shared" si="6"/>
        <v>10.835650000000001</v>
      </c>
      <c r="S10" s="32">
        <f t="shared" si="10"/>
        <v>-0.36065000000000147</v>
      </c>
      <c r="U10" s="54">
        <v>2008</v>
      </c>
      <c r="V10" s="17">
        <v>1919488.3473116199</v>
      </c>
      <c r="W10" s="17"/>
      <c r="X10" s="17"/>
    </row>
    <row r="11" spans="1:24" ht="17.25" customHeight="1" x14ac:dyDescent="0.3">
      <c r="A11" s="28">
        <v>2009</v>
      </c>
      <c r="B11" s="2">
        <v>12.025</v>
      </c>
      <c r="C11" s="2">
        <v>3935640.71</v>
      </c>
      <c r="D11" s="47">
        <f t="shared" si="0"/>
        <v>57077227.757385939</v>
      </c>
      <c r="E11" s="2">
        <v>8.5649999999999995</v>
      </c>
      <c r="F11" s="2">
        <v>73196424</v>
      </c>
      <c r="G11" s="3"/>
      <c r="H11" s="32">
        <f t="shared" si="1"/>
        <v>6.8952905819619419</v>
      </c>
      <c r="I11" s="32">
        <f t="shared" si="2"/>
        <v>402.49391354109349</v>
      </c>
      <c r="J11" s="32">
        <f t="shared" si="3"/>
        <v>779781642.84891748</v>
      </c>
      <c r="K11" s="32">
        <f t="shared" si="4"/>
        <v>136.59155636305252</v>
      </c>
      <c r="L11" s="32">
        <f t="shared" si="7"/>
        <v>2.3147106193100053</v>
      </c>
      <c r="M11" s="32">
        <f t="array" ref="M11">TREND($D$2:$D$26,$A$2:$A$26,A11)</f>
        <v>54463308.293563843</v>
      </c>
      <c r="N11" s="32">
        <f t="shared" si="5"/>
        <v>4.7994136708199093</v>
      </c>
      <c r="O11" s="32">
        <f t="shared" si="8"/>
        <v>9.4708588957055166</v>
      </c>
      <c r="P11" s="32">
        <f t="shared" si="9"/>
        <v>2.7154147681688121</v>
      </c>
      <c r="Q11" s="32">
        <f t="shared" si="11"/>
        <v>1.5500000000000007</v>
      </c>
      <c r="R11" s="32">
        <f t="shared" si="6"/>
        <v>10.835650000000001</v>
      </c>
      <c r="S11" s="32">
        <f t="shared" si="10"/>
        <v>1.1893499999999992</v>
      </c>
      <c r="U11" s="54">
        <v>2009</v>
      </c>
      <c r="V11" s="17">
        <v>1963918.94792326</v>
      </c>
      <c r="W11" s="17"/>
      <c r="X11" s="17"/>
    </row>
    <row r="12" spans="1:24" ht="17.25" customHeight="1" x14ac:dyDescent="0.3">
      <c r="A12" s="28">
        <v>2010</v>
      </c>
      <c r="B12" s="2">
        <v>13.525</v>
      </c>
      <c r="C12" s="2">
        <v>4796803.4400000004</v>
      </c>
      <c r="D12" s="47">
        <f t="shared" si="0"/>
        <v>60831410.696997844</v>
      </c>
      <c r="E12" s="2">
        <v>9.7579999999999991</v>
      </c>
      <c r="F12" s="2">
        <v>74157377</v>
      </c>
      <c r="G12" s="3"/>
      <c r="H12" s="32">
        <f t="shared" si="1"/>
        <v>7.8854055578177356</v>
      </c>
      <c r="I12" s="32">
        <f t="shared" si="2"/>
        <v>460.28919377632508</v>
      </c>
      <c r="J12" s="32">
        <f t="shared" si="3"/>
        <v>820301541.90860665</v>
      </c>
      <c r="K12" s="32">
        <f t="shared" si="4"/>
        <v>143.68928189556942</v>
      </c>
      <c r="L12" s="32">
        <f t="shared" si="7"/>
        <v>6.5773743524642425</v>
      </c>
      <c r="M12" s="32">
        <f t="array" ref="M12">TREND($D$2:$D$26,$A$2:$A$26,A12)</f>
        <v>56062061.918092728</v>
      </c>
      <c r="N12" s="32">
        <f t="shared" si="5"/>
        <v>8.5072660828515119</v>
      </c>
      <c r="O12" s="32">
        <f t="shared" si="8"/>
        <v>13.928779918272033</v>
      </c>
      <c r="P12" s="32">
        <f t="shared" si="9"/>
        <v>14.359292970856533</v>
      </c>
      <c r="Q12" s="32">
        <f t="shared" si="11"/>
        <v>1.5</v>
      </c>
      <c r="R12" s="32">
        <f t="shared" si="6"/>
        <v>10.835650000000001</v>
      </c>
      <c r="S12" s="32">
        <f t="shared" si="10"/>
        <v>2.6893499999999992</v>
      </c>
      <c r="U12" s="54">
        <v>2010</v>
      </c>
      <c r="V12" s="17">
        <v>2093093.2491071499</v>
      </c>
      <c r="W12" s="17"/>
      <c r="X12" s="17"/>
    </row>
    <row r="13" spans="1:24" ht="17.25" customHeight="1" x14ac:dyDescent="0.3">
      <c r="A13" s="28">
        <v>2011</v>
      </c>
      <c r="B13" s="2">
        <v>12.324999999999999</v>
      </c>
      <c r="C13" s="2">
        <v>6895999.71</v>
      </c>
      <c r="D13" s="47">
        <f>$X$18*(W13/$W$18)</f>
        <v>63112400.316188596</v>
      </c>
      <c r="E13" s="2">
        <v>12.33</v>
      </c>
      <c r="F13" s="2">
        <v>75149669</v>
      </c>
      <c r="G13" s="3"/>
      <c r="H13" s="32">
        <f t="shared" si="1"/>
        <v>10.926536901546346</v>
      </c>
      <c r="I13" s="32">
        <f t="shared" si="2"/>
        <v>637.80699981801513</v>
      </c>
      <c r="J13" s="32">
        <f t="shared" si="3"/>
        <v>839822731.83649814</v>
      </c>
      <c r="K13" s="32">
        <f t="shared" si="4"/>
        <v>147.10873878938355</v>
      </c>
      <c r="L13" s="32">
        <f t="shared" si="7"/>
        <v>3.7496904856479421</v>
      </c>
      <c r="M13" s="32">
        <f t="array" ref="M13">TREND($D$2:$D$26,$A$2:$A$26,A13)</f>
        <v>57660815.542621136</v>
      </c>
      <c r="N13" s="32">
        <f t="shared" si="5"/>
        <v>9.4545745187003352</v>
      </c>
      <c r="O13" s="32">
        <f t="shared" si="8"/>
        <v>26.357860217257645</v>
      </c>
      <c r="P13" s="32">
        <f t="shared" si="9"/>
        <v>38.566581280192707</v>
      </c>
      <c r="Q13" s="32">
        <f t="shared" si="11"/>
        <v>-1.2000000000000011</v>
      </c>
      <c r="R13" s="32">
        <f t="shared" si="6"/>
        <v>10.835650000000001</v>
      </c>
      <c r="S13" s="32">
        <f t="shared" si="10"/>
        <v>1.4893499999999982</v>
      </c>
      <c r="U13" s="54">
        <v>2011</v>
      </c>
      <c r="V13" s="17">
        <v>2171577.7675246601</v>
      </c>
      <c r="W13" s="17">
        <v>13498795.275540199</v>
      </c>
      <c r="X13" s="17"/>
    </row>
    <row r="14" spans="1:24" ht="17.25" customHeight="1" x14ac:dyDescent="0.3">
      <c r="A14" s="28">
        <v>2012</v>
      </c>
      <c r="B14" s="2">
        <v>12.15</v>
      </c>
      <c r="C14" s="2">
        <v>7895676.7999999998</v>
      </c>
      <c r="D14" s="47">
        <f>$X$18*(W14/$W$18)</f>
        <v>60747470.502544306</v>
      </c>
      <c r="E14" s="2">
        <v>15.851000000000001</v>
      </c>
      <c r="F14" s="2">
        <v>76075000</v>
      </c>
      <c r="G14" s="3"/>
      <c r="H14" s="32">
        <f t="shared" si="1"/>
        <v>12.99754003694574</v>
      </c>
      <c r="I14" s="32">
        <f t="shared" si="2"/>
        <v>758.69619904964486</v>
      </c>
      <c r="J14" s="32">
        <f t="shared" si="3"/>
        <v>798520808.44619524</v>
      </c>
      <c r="K14" s="32">
        <f t="shared" si="4"/>
        <v>139.87402885692356</v>
      </c>
      <c r="L14" s="32">
        <f t="shared" si="7"/>
        <v>-3.7471713986414099</v>
      </c>
      <c r="M14" s="32">
        <f t="array" ref="M14">TREND($D$2:$D$26,$A$2:$A$26,A14)</f>
        <v>59259569.167149544</v>
      </c>
      <c r="N14" s="32">
        <f t="shared" si="5"/>
        <v>2.5108203726522844</v>
      </c>
      <c r="O14" s="32">
        <f t="shared" si="8"/>
        <v>28.556366585563669</v>
      </c>
      <c r="P14" s="32">
        <f t="shared" si="9"/>
        <v>18.953884053659319</v>
      </c>
      <c r="Q14" s="32">
        <f t="shared" si="11"/>
        <v>-0.17499999999999893</v>
      </c>
      <c r="R14" s="32">
        <f t="shared" si="6"/>
        <v>10.835650000000001</v>
      </c>
      <c r="S14" s="32">
        <f t="shared" si="10"/>
        <v>1.3143499999999992</v>
      </c>
      <c r="U14" s="54">
        <v>2012</v>
      </c>
      <c r="V14" s="17"/>
      <c r="W14" s="17">
        <v>12992972.279813999</v>
      </c>
      <c r="X14" s="17"/>
    </row>
    <row r="15" spans="1:24" ht="17.25" customHeight="1" x14ac:dyDescent="0.3">
      <c r="A15" s="28">
        <v>2013</v>
      </c>
      <c r="B15" s="2">
        <v>10.45</v>
      </c>
      <c r="C15" s="2">
        <v>10634997.800000001</v>
      </c>
      <c r="D15" s="47">
        <f>$X$18*(W15/$W$18)</f>
        <v>59822906.633967541</v>
      </c>
      <c r="E15" s="2">
        <v>20.934999999999999</v>
      </c>
      <c r="F15" s="2">
        <v>77016000</v>
      </c>
      <c r="G15" s="3"/>
      <c r="H15" s="32">
        <f t="shared" si="1"/>
        <v>17.77746752606205</v>
      </c>
      <c r="I15" s="32">
        <f t="shared" si="2"/>
        <v>1037.711520981105</v>
      </c>
      <c r="J15" s="32">
        <f t="shared" si="3"/>
        <v>776759460.81291604</v>
      </c>
      <c r="K15" s="32">
        <f t="shared" si="4"/>
        <v>136.06217156450592</v>
      </c>
      <c r="L15" s="32">
        <f t="shared" si="7"/>
        <v>-1.5219792049416137</v>
      </c>
      <c r="M15" s="32">
        <f t="array" ref="M15">TREND($D$2:$D$26,$A$2:$A$26,A15)</f>
        <v>60858322.791677952</v>
      </c>
      <c r="N15" s="32">
        <f t="shared" si="5"/>
        <v>-1.7013550656903713</v>
      </c>
      <c r="O15" s="32">
        <f t="shared" si="8"/>
        <v>32.07368620276322</v>
      </c>
      <c r="P15" s="32">
        <f t="shared" si="9"/>
        <v>36.775631969813375</v>
      </c>
      <c r="Q15" s="32">
        <f t="shared" si="11"/>
        <v>-1.7000000000000011</v>
      </c>
      <c r="R15" s="32">
        <f t="shared" si="6"/>
        <v>10.835650000000001</v>
      </c>
      <c r="S15" s="32">
        <f t="shared" si="10"/>
        <v>-0.38565000000000182</v>
      </c>
      <c r="U15" s="54">
        <v>2013</v>
      </c>
      <c r="V15" s="17"/>
      <c r="W15" s="17">
        <v>12795221.9436114</v>
      </c>
      <c r="X15" s="17"/>
    </row>
    <row r="16" spans="1:24" ht="17.25" customHeight="1" x14ac:dyDescent="0.3">
      <c r="A16" s="28">
        <v>2014</v>
      </c>
      <c r="B16" s="2">
        <v>10.55</v>
      </c>
      <c r="C16" s="2">
        <v>12254707.59</v>
      </c>
      <c r="D16" s="47">
        <f>$X$18*(W16/$W$18)</f>
        <v>62804943.968269028</v>
      </c>
      <c r="E16" s="2">
        <v>24.039000000000001</v>
      </c>
      <c r="F16" s="2">
        <v>77970000</v>
      </c>
      <c r="G16" s="3"/>
      <c r="H16" s="32">
        <f t="shared" si="1"/>
        <v>19.512329469144106</v>
      </c>
      <c r="I16" s="32">
        <f t="shared" si="2"/>
        <v>1138.9793884660921</v>
      </c>
      <c r="J16" s="32">
        <f t="shared" si="3"/>
        <v>805501397.5666157</v>
      </c>
      <c r="K16" s="32">
        <f t="shared" si="4"/>
        <v>141.09679364118503</v>
      </c>
      <c r="L16" s="32">
        <f t="shared" si="7"/>
        <v>4.9847750670949198</v>
      </c>
      <c r="M16" s="32">
        <f t="array" ref="M16">TREND($D$2:$D$26,$A$2:$A$26,A16)</f>
        <v>62457076.416206837</v>
      </c>
      <c r="N16" s="32">
        <f t="shared" si="5"/>
        <v>0.55697059808570182</v>
      </c>
      <c r="O16" s="32">
        <f t="shared" si="8"/>
        <v>14.826844996417496</v>
      </c>
      <c r="P16" s="32">
        <f t="shared" si="9"/>
        <v>9.7587687365409064</v>
      </c>
      <c r="Q16" s="32">
        <f t="shared" si="11"/>
        <v>0.10000000000000142</v>
      </c>
      <c r="R16" s="32">
        <f t="shared" si="6"/>
        <v>10.835650000000001</v>
      </c>
      <c r="S16" s="32">
        <f t="shared" si="10"/>
        <v>-0.2856500000000004</v>
      </c>
      <c r="U16" s="54">
        <v>2014</v>
      </c>
      <c r="V16" s="17"/>
      <c r="W16" s="17">
        <v>13433034.976836</v>
      </c>
      <c r="X16" s="17"/>
    </row>
    <row r="17" spans="1:24" ht="17.25" customHeight="1" x14ac:dyDescent="0.3">
      <c r="A17" s="28">
        <v>2015</v>
      </c>
      <c r="B17" s="2">
        <v>11.05</v>
      </c>
      <c r="C17" s="2">
        <v>12103890.09</v>
      </c>
      <c r="D17" s="47">
        <f>$X$18*(W17/$W$18)</f>
        <v>61910045.780482307</v>
      </c>
      <c r="E17" s="2">
        <v>26.751999999999999</v>
      </c>
      <c r="F17" s="2">
        <v>78940000</v>
      </c>
      <c r="G17" s="3"/>
      <c r="H17" s="32">
        <f t="shared" si="1"/>
        <v>19.550769083449556</v>
      </c>
      <c r="I17" s="32">
        <f t="shared" si="2"/>
        <v>1141.2231968470305</v>
      </c>
      <c r="J17" s="32">
        <f t="shared" si="3"/>
        <v>784267111.483181</v>
      </c>
      <c r="K17" s="32">
        <f t="shared" si="4"/>
        <v>137.37725983195349</v>
      </c>
      <c r="L17" s="32">
        <f t="shared" si="7"/>
        <v>-1.424884939374917</v>
      </c>
      <c r="M17" s="32">
        <f t="array" ref="M17">TREND($D$2:$D$26,$A$2:$A$26,A17)</f>
        <v>64055830.040735245</v>
      </c>
      <c r="N17" s="32">
        <f t="shared" si="5"/>
        <v>-3.3498656701323855</v>
      </c>
      <c r="O17" s="32">
        <f t="shared" si="8"/>
        <v>11.285827197470766</v>
      </c>
      <c r="P17" s="32">
        <f t="shared" si="9"/>
        <v>0.19700166690110546</v>
      </c>
      <c r="Q17" s="32">
        <f t="shared" si="11"/>
        <v>0.5</v>
      </c>
      <c r="R17" s="32">
        <f t="shared" si="6"/>
        <v>10.835650000000001</v>
      </c>
      <c r="S17" s="32">
        <f t="shared" si="10"/>
        <v>0.2143499999999996</v>
      </c>
      <c r="U17" s="54">
        <v>2015</v>
      </c>
      <c r="V17" s="17"/>
      <c r="W17" s="17">
        <v>13241629.684550099</v>
      </c>
      <c r="X17" s="17"/>
    </row>
    <row r="18" spans="1:24" ht="17.25" customHeight="1" x14ac:dyDescent="0.3">
      <c r="A18" s="28">
        <v>2016</v>
      </c>
      <c r="B18" s="2">
        <v>12.425000000000001</v>
      </c>
      <c r="C18" s="2">
        <v>15023342.439999999</v>
      </c>
      <c r="D18" s="47">
        <f t="shared" ref="D18:D26" si="12">X18</f>
        <v>67367469.956454501</v>
      </c>
      <c r="E18" s="2">
        <v>28.558</v>
      </c>
      <c r="F18" s="2">
        <v>79877000</v>
      </c>
      <c r="G18" s="3"/>
      <c r="H18" s="32">
        <f t="shared" si="1"/>
        <v>22.30058877038265</v>
      </c>
      <c r="I18" s="32">
        <f t="shared" si="2"/>
        <v>1301.7364738685083</v>
      </c>
      <c r="J18" s="32">
        <f t="shared" si="3"/>
        <v>843390086.71400404</v>
      </c>
      <c r="K18" s="32">
        <f t="shared" si="4"/>
        <v>147.73361956118219</v>
      </c>
      <c r="L18" s="32">
        <f t="shared" si="7"/>
        <v>8.8150866425181924</v>
      </c>
      <c r="M18" s="32">
        <f t="array" ref="M18">TREND($D$2:$D$26,$A$2:$A$26,A18)</f>
        <v>65654583.665263653</v>
      </c>
      <c r="N18" s="32">
        <f t="shared" si="5"/>
        <v>2.6089363385866644</v>
      </c>
      <c r="O18" s="32">
        <f t="shared" si="8"/>
        <v>6.7508971291866064</v>
      </c>
      <c r="P18" s="32">
        <f t="shared" si="9"/>
        <v>14.065020538045827</v>
      </c>
      <c r="Q18" s="32">
        <f t="shared" si="11"/>
        <v>1.375</v>
      </c>
      <c r="R18" s="32">
        <f t="shared" si="6"/>
        <v>10.835650000000001</v>
      </c>
      <c r="S18" s="32">
        <f t="shared" si="10"/>
        <v>1.5893499999999996</v>
      </c>
      <c r="U18" s="54">
        <v>2016</v>
      </c>
      <c r="V18" s="17"/>
      <c r="W18" s="17">
        <v>14408890.814124599</v>
      </c>
      <c r="X18" s="17">
        <v>67367469.956454501</v>
      </c>
    </row>
    <row r="19" spans="1:24" ht="17.25" customHeight="1" x14ac:dyDescent="0.3">
      <c r="A19" s="28">
        <v>2017</v>
      </c>
      <c r="B19" s="2">
        <v>12.1</v>
      </c>
      <c r="C19" s="2">
        <v>17457347.710000001</v>
      </c>
      <c r="D19" s="47">
        <f t="shared" si="12"/>
        <v>69406585.378304496</v>
      </c>
      <c r="E19" s="2">
        <v>30.88</v>
      </c>
      <c r="F19" s="2">
        <v>81053000</v>
      </c>
      <c r="G19" s="3"/>
      <c r="H19" s="32">
        <f t="shared" si="1"/>
        <v>25.15229299186489</v>
      </c>
      <c r="I19" s="32">
        <f t="shared" si="2"/>
        <v>1468.1969846653512</v>
      </c>
      <c r="J19" s="32">
        <f t="shared" si="3"/>
        <v>856311122.08437061</v>
      </c>
      <c r="K19" s="32">
        <f t="shared" si="4"/>
        <v>149.99695102999232</v>
      </c>
      <c r="L19" s="32">
        <f t="shared" si="7"/>
        <v>3.026854686940232</v>
      </c>
      <c r="M19" s="32">
        <f t="array" ref="M19">TREND($D$2:$D$26,$A$2:$A$26,A19)</f>
        <v>67253337.289792061</v>
      </c>
      <c r="N19" s="32">
        <f t="shared" si="5"/>
        <v>3.2016970090780354</v>
      </c>
      <c r="O19" s="32">
        <f t="shared" si="8"/>
        <v>8.1308214860984638</v>
      </c>
      <c r="P19" s="32">
        <f t="shared" si="9"/>
        <v>12.787573686258815</v>
      </c>
      <c r="Q19" s="32">
        <f t="shared" si="11"/>
        <v>-0.32500000000000107</v>
      </c>
      <c r="R19" s="32">
        <f t="shared" si="6"/>
        <v>10.835650000000001</v>
      </c>
      <c r="S19" s="32">
        <f t="shared" si="10"/>
        <v>1.2643499999999985</v>
      </c>
      <c r="U19" s="54">
        <v>2017</v>
      </c>
      <c r="V19" s="17"/>
      <c r="W19" s="17"/>
      <c r="X19" s="17">
        <v>69406585.378304496</v>
      </c>
    </row>
    <row r="20" spans="1:24" ht="17.25" customHeight="1" x14ac:dyDescent="0.3">
      <c r="A20" s="28">
        <v>2018</v>
      </c>
      <c r="B20" s="2">
        <v>12.05</v>
      </c>
      <c r="C20" s="2">
        <v>22333173.890000001</v>
      </c>
      <c r="D20" s="47">
        <f t="shared" si="12"/>
        <v>66805254.211912803</v>
      </c>
      <c r="E20" s="2">
        <v>39.103999999999999</v>
      </c>
      <c r="F20" s="2">
        <v>81962000</v>
      </c>
      <c r="G20" s="3"/>
      <c r="H20" s="32">
        <f t="shared" si="1"/>
        <v>33.43026555839004</v>
      </c>
      <c r="I20" s="32">
        <f t="shared" si="2"/>
        <v>1951.4012144047886</v>
      </c>
      <c r="J20" s="32">
        <f t="shared" si="3"/>
        <v>815075940.21513379</v>
      </c>
      <c r="K20" s="32">
        <f t="shared" si="4"/>
        <v>142.77393197063773</v>
      </c>
      <c r="L20" s="32">
        <f t="shared" si="7"/>
        <v>-3.7479601571133219</v>
      </c>
      <c r="M20" s="32">
        <f t="array" ref="M20">TREND($D$2:$D$26,$A$2:$A$26,A20)</f>
        <v>68852090.914320946</v>
      </c>
      <c r="N20" s="32">
        <f t="shared" si="5"/>
        <v>-2.9728025325406771</v>
      </c>
      <c r="O20" s="32">
        <f t="shared" si="8"/>
        <v>26.632124352331608</v>
      </c>
      <c r="P20" s="32">
        <f t="shared" si="9"/>
        <v>32.91140322356506</v>
      </c>
      <c r="Q20" s="32">
        <f t="shared" si="11"/>
        <v>-4.9999999999998934E-2</v>
      </c>
      <c r="R20" s="32">
        <f t="shared" si="6"/>
        <v>10.835650000000001</v>
      </c>
      <c r="S20" s="32">
        <f t="shared" si="10"/>
        <v>1.2143499999999996</v>
      </c>
      <c r="U20" s="54">
        <v>2018</v>
      </c>
      <c r="V20" s="17"/>
      <c r="W20" s="17"/>
      <c r="X20" s="17">
        <v>66805254.211912803</v>
      </c>
    </row>
    <row r="21" spans="1:24" ht="17.25" customHeight="1" x14ac:dyDescent="0.3">
      <c r="A21" s="28">
        <v>2019</v>
      </c>
      <c r="B21" s="2">
        <v>10.65</v>
      </c>
      <c r="C21" s="2">
        <v>28551162.109999999</v>
      </c>
      <c r="D21" s="47">
        <f t="shared" si="12"/>
        <v>65227691.298105903</v>
      </c>
      <c r="E21" s="2">
        <v>52.545999999999999</v>
      </c>
      <c r="F21" s="2">
        <v>82710000</v>
      </c>
      <c r="G21" s="3"/>
      <c r="H21" s="32">
        <f t="shared" si="1"/>
        <v>43.771535588335432</v>
      </c>
      <c r="I21" s="32">
        <f t="shared" si="2"/>
        <v>2555.0448456429704</v>
      </c>
      <c r="J21" s="32">
        <f t="shared" si="3"/>
        <v>788631257.38249195</v>
      </c>
      <c r="K21" s="32">
        <f t="shared" si="4"/>
        <v>138.1417116320811</v>
      </c>
      <c r="L21" s="32">
        <f t="shared" si="7"/>
        <v>-2.3614353877057579</v>
      </c>
      <c r="M21" s="32">
        <f t="array" ref="M21">TREND($D$2:$D$26,$A$2:$A$26,A21)</f>
        <v>70450844.538849354</v>
      </c>
      <c r="N21" s="32">
        <f t="shared" si="5"/>
        <v>-7.4138972711153235</v>
      </c>
      <c r="O21" s="32">
        <f t="shared" si="8"/>
        <v>34.375</v>
      </c>
      <c r="P21" s="32">
        <f t="shared" si="9"/>
        <v>30.933855466637262</v>
      </c>
      <c r="Q21" s="32">
        <f t="shared" si="11"/>
        <v>-1.4000000000000004</v>
      </c>
      <c r="R21" s="32">
        <f t="shared" si="6"/>
        <v>10.835650000000001</v>
      </c>
      <c r="S21" s="32">
        <f t="shared" si="10"/>
        <v>-0.18565000000000076</v>
      </c>
      <c r="U21" s="54">
        <v>2019</v>
      </c>
      <c r="V21" s="17"/>
      <c r="W21" s="17"/>
      <c r="X21" s="17">
        <v>65227691.298105903</v>
      </c>
    </row>
    <row r="22" spans="1:24" ht="17.25" customHeight="1" x14ac:dyDescent="0.3">
      <c r="A22" s="28">
        <v>2020</v>
      </c>
      <c r="B22" s="2">
        <v>9.609</v>
      </c>
      <c r="C22" s="2">
        <v>43708246.280000001</v>
      </c>
      <c r="D22" s="47">
        <f t="shared" si="12"/>
        <v>68124980.534720004</v>
      </c>
      <c r="E22" s="2">
        <v>71.567999999999998</v>
      </c>
      <c r="F22" s="2">
        <v>83409000</v>
      </c>
      <c r="G22" s="3"/>
      <c r="H22" s="32">
        <f t="shared" si="1"/>
        <v>64.158911954072451</v>
      </c>
      <c r="I22" s="32">
        <f t="shared" si="2"/>
        <v>3745.1027268506195</v>
      </c>
      <c r="J22" s="32">
        <f t="shared" si="3"/>
        <v>816758150.01642513</v>
      </c>
      <c r="K22" s="32">
        <f t="shared" si="4"/>
        <v>143.0685986340489</v>
      </c>
      <c r="L22" s="32">
        <f t="shared" si="7"/>
        <v>4.4418086535867216</v>
      </c>
      <c r="M22" s="32">
        <f t="array" ref="M22">TREND($D$2:$D$26,$A$2:$A$26,A22)</f>
        <v>72049598.163377762</v>
      </c>
      <c r="N22" s="32">
        <f t="shared" si="5"/>
        <v>-5.4471055060687483</v>
      </c>
      <c r="O22" s="32">
        <f t="shared" si="8"/>
        <v>36.200662276862175</v>
      </c>
      <c r="P22" s="32">
        <f t="shared" si="9"/>
        <v>46.576790354072024</v>
      </c>
      <c r="Q22" s="32">
        <f t="shared" si="11"/>
        <v>-1.0410000000000004</v>
      </c>
      <c r="R22" s="32">
        <f t="shared" si="6"/>
        <v>10.835650000000001</v>
      </c>
      <c r="S22" s="32">
        <f t="shared" si="10"/>
        <v>-1.2266500000000011</v>
      </c>
      <c r="U22" s="54">
        <v>2020</v>
      </c>
      <c r="V22" s="17"/>
      <c r="W22" s="17"/>
      <c r="X22" s="17">
        <v>68124980.534720004</v>
      </c>
    </row>
    <row r="23" spans="1:24" ht="17.25" customHeight="1" x14ac:dyDescent="0.3">
      <c r="A23" s="28">
        <v>2021</v>
      </c>
      <c r="B23" s="2">
        <v>9.1790000000000003</v>
      </c>
      <c r="C23" s="2">
        <v>70939153.209999993</v>
      </c>
      <c r="D23" s="47">
        <f t="shared" si="12"/>
        <v>70939153.209926695</v>
      </c>
      <c r="E23" s="2">
        <v>100</v>
      </c>
      <c r="F23" s="2">
        <v>84055000</v>
      </c>
      <c r="G23" s="3"/>
      <c r="H23" s="32">
        <f t="shared" si="1"/>
        <v>100.00000000010331</v>
      </c>
      <c r="I23" s="32">
        <f t="shared" si="2"/>
        <v>5837.2291748578664</v>
      </c>
      <c r="J23" s="32">
        <f t="shared" si="3"/>
        <v>843961135.08924747</v>
      </c>
      <c r="K23" s="32">
        <f t="shared" si="4"/>
        <v>147.83364805896539</v>
      </c>
      <c r="L23" s="32">
        <f t="shared" si="7"/>
        <v>4.1308968503447039</v>
      </c>
      <c r="M23" s="32">
        <f t="array" ref="M23">TREND($D$2:$D$26,$A$2:$A$26,A23)</f>
        <v>73648351.78790617</v>
      </c>
      <c r="N23" s="32">
        <f t="shared" si="5"/>
        <v>-3.6785596856009399</v>
      </c>
      <c r="O23" s="32">
        <f t="shared" si="8"/>
        <v>39.727252403308746</v>
      </c>
      <c r="P23" s="32">
        <f t="shared" si="9"/>
        <v>55.862992302125335</v>
      </c>
      <c r="Q23" s="32">
        <f t="shared" si="11"/>
        <v>-0.42999999999999972</v>
      </c>
      <c r="R23" s="32">
        <f t="shared" si="6"/>
        <v>10.835650000000001</v>
      </c>
      <c r="S23" s="32">
        <f t="shared" si="10"/>
        <v>-1.6566500000000008</v>
      </c>
      <c r="U23" s="54">
        <v>2021</v>
      </c>
      <c r="V23" s="17"/>
      <c r="W23" s="17"/>
      <c r="X23" s="17">
        <v>70939153.209926695</v>
      </c>
    </row>
    <row r="24" spans="1:24" ht="17.25" customHeight="1" x14ac:dyDescent="0.3">
      <c r="A24" s="28">
        <v>2022</v>
      </c>
      <c r="B24" s="2">
        <v>9</v>
      </c>
      <c r="C24" s="2">
        <v>111838256.63</v>
      </c>
      <c r="D24" s="47">
        <f t="shared" si="12"/>
        <v>74027000.385632694</v>
      </c>
      <c r="E24" s="2">
        <v>144.958</v>
      </c>
      <c r="F24" s="2">
        <v>84700000</v>
      </c>
      <c r="G24" s="3"/>
      <c r="H24" s="32">
        <f t="shared" si="1"/>
        <v>151.07765551406266</v>
      </c>
      <c r="I24" s="32">
        <f t="shared" si="2"/>
        <v>8818.7489843490202</v>
      </c>
      <c r="J24" s="32">
        <f t="shared" si="3"/>
        <v>873990559.45257008</v>
      </c>
      <c r="K24" s="32">
        <f t="shared" si="4"/>
        <v>153.09379472705967</v>
      </c>
      <c r="L24" s="32">
        <f t="shared" si="7"/>
        <v>4.3528108752134198</v>
      </c>
      <c r="M24" s="32">
        <f t="array" ref="M24">TREND($D$2:$D$26,$A$2:$A$26,A24)</f>
        <v>75247105.412435055</v>
      </c>
      <c r="N24" s="32">
        <f t="shared" si="5"/>
        <v>-1.6214644006767747</v>
      </c>
      <c r="O24" s="32">
        <f t="shared" si="8"/>
        <v>44.957999999999998</v>
      </c>
      <c r="P24" s="32">
        <f t="shared" si="9"/>
        <v>51.077655513906571</v>
      </c>
      <c r="Q24" s="32">
        <f t="shared" si="11"/>
        <v>-0.17900000000000027</v>
      </c>
      <c r="R24" s="32">
        <f t="shared" si="6"/>
        <v>10.835650000000001</v>
      </c>
      <c r="S24" s="32">
        <f t="shared" si="10"/>
        <v>-1.8356500000000011</v>
      </c>
      <c r="U24" s="54">
        <v>2022</v>
      </c>
      <c r="V24" s="17"/>
      <c r="W24" s="17"/>
      <c r="X24" s="17">
        <v>74027000.385632694</v>
      </c>
    </row>
    <row r="25" spans="1:24" ht="17.25" customHeight="1" x14ac:dyDescent="0.3">
      <c r="A25" s="28">
        <v>2023</v>
      </c>
      <c r="B25" s="2">
        <v>8.0749999999999993</v>
      </c>
      <c r="C25" s="2">
        <v>161734588.97999999</v>
      </c>
      <c r="D25" s="47">
        <f t="shared" si="12"/>
        <v>77974380.008413896</v>
      </c>
      <c r="E25" s="2">
        <v>203.96</v>
      </c>
      <c r="F25" s="2">
        <v>85329000</v>
      </c>
      <c r="G25" s="3"/>
      <c r="H25" s="32">
        <f t="shared" si="1"/>
        <v>207.42016667852684</v>
      </c>
      <c r="I25" s="32">
        <f t="shared" si="2"/>
        <v>12107.590483885277</v>
      </c>
      <c r="J25" s="32">
        <f t="shared" si="3"/>
        <v>913808670.07012725</v>
      </c>
      <c r="K25" s="32">
        <f t="shared" si="4"/>
        <v>160.06859049272774</v>
      </c>
      <c r="L25" s="32">
        <f t="shared" si="7"/>
        <v>5.3323511721640928</v>
      </c>
      <c r="M25" s="32">
        <f t="array" ref="M25">TREND($D$2:$D$26,$A$2:$A$26,A25)</f>
        <v>76845859.036963463</v>
      </c>
      <c r="N25" s="32">
        <f t="shared" si="5"/>
        <v>1.4685514425801469</v>
      </c>
      <c r="O25" s="32">
        <f t="shared" si="8"/>
        <v>40.702824266339221</v>
      </c>
      <c r="P25" s="32">
        <f t="shared" si="9"/>
        <v>37.293742064470742</v>
      </c>
      <c r="Q25" s="32">
        <f t="shared" si="11"/>
        <v>-0.92500000000000071</v>
      </c>
      <c r="R25" s="32">
        <f t="shared" si="6"/>
        <v>10.835650000000001</v>
      </c>
      <c r="S25" s="32">
        <f t="shared" si="10"/>
        <v>-2.7606500000000018</v>
      </c>
      <c r="U25" s="54">
        <v>2023</v>
      </c>
      <c r="V25" s="17"/>
      <c r="W25" s="17"/>
      <c r="X25" s="17">
        <v>77974380.008413896</v>
      </c>
    </row>
    <row r="26" spans="1:24" ht="17.25" customHeight="1" x14ac:dyDescent="0.3">
      <c r="A26" s="53">
        <v>2024</v>
      </c>
      <c r="B26" s="2">
        <v>7.55</v>
      </c>
      <c r="C26" s="2">
        <v>215225038.46000001</v>
      </c>
      <c r="D26" s="47">
        <f t="shared" si="12"/>
        <v>80830675.560512096</v>
      </c>
      <c r="E26" s="2">
        <v>270.83600000000001</v>
      </c>
      <c r="F26" s="2">
        <v>85961000</v>
      </c>
      <c r="G26" s="3"/>
      <c r="H26" s="32">
        <f t="shared" si="1"/>
        <v>266.26653429226451</v>
      </c>
      <c r="I26" s="32">
        <f t="shared" si="2"/>
        <v>15542.587822574933</v>
      </c>
      <c r="J26" s="32">
        <f t="shared" si="3"/>
        <v>940317999.56389642</v>
      </c>
      <c r="K26" s="32">
        <f t="shared" si="4"/>
        <v>164.71213475528032</v>
      </c>
      <c r="L26" s="32">
        <f t="shared" si="7"/>
        <v>3.6631205683071655</v>
      </c>
      <c r="M26" s="32">
        <f t="array" ref="M26">TREND($D$2:$D$26,$A$2:$A$26,A26)</f>
        <v>78444612.661491871</v>
      </c>
      <c r="N26" s="32">
        <f t="shared" si="5"/>
        <v>3.041716719689449</v>
      </c>
      <c r="O26" s="32">
        <f t="shared" si="8"/>
        <v>32.788782114140034</v>
      </c>
      <c r="P26" s="32">
        <f t="shared" si="9"/>
        <v>28.370610512979468</v>
      </c>
      <c r="Q26" s="32">
        <f t="shared" si="11"/>
        <v>-0.52499999999999947</v>
      </c>
      <c r="R26" s="32">
        <f t="shared" si="6"/>
        <v>10.835650000000001</v>
      </c>
      <c r="S26" s="32">
        <f t="shared" si="10"/>
        <v>-3.2856500000000013</v>
      </c>
      <c r="U26" s="54">
        <v>2024</v>
      </c>
      <c r="V26" s="17"/>
      <c r="W26" s="17"/>
      <c r="X26" s="17">
        <v>80830675.560512096</v>
      </c>
    </row>
    <row r="27" spans="1:24" ht="17.25" customHeight="1" x14ac:dyDescent="0.3">
      <c r="A27" s="28" t="s">
        <v>18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25"/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U27" s="18"/>
      <c r="V27" s="19"/>
      <c r="W27" s="19"/>
      <c r="X27" s="20"/>
    </row>
    <row r="28" spans="1:24" ht="69.75" customHeight="1" x14ac:dyDescent="0.3">
      <c r="A28" s="28"/>
      <c r="B28" s="6"/>
      <c r="C28" s="6"/>
      <c r="D28" s="6"/>
      <c r="E28" s="6"/>
      <c r="F28" s="6"/>
      <c r="G28" s="24" t="s">
        <v>184</v>
      </c>
      <c r="H28" s="7" t="s">
        <v>185</v>
      </c>
      <c r="I28" s="7" t="s">
        <v>186</v>
      </c>
      <c r="J28" s="7" t="s">
        <v>187</v>
      </c>
      <c r="K28" s="7" t="s">
        <v>188</v>
      </c>
      <c r="L28" s="7" t="s">
        <v>189</v>
      </c>
      <c r="M28" s="7" t="s">
        <v>190</v>
      </c>
      <c r="N28" s="7" t="s">
        <v>191</v>
      </c>
      <c r="O28" s="7" t="s">
        <v>192</v>
      </c>
      <c r="P28" s="7" t="s">
        <v>193</v>
      </c>
      <c r="Q28" s="7" t="s">
        <v>194</v>
      </c>
      <c r="R28" s="7" t="s">
        <v>195</v>
      </c>
      <c r="S28" s="7" t="s">
        <v>196</v>
      </c>
      <c r="U28" s="67" t="s">
        <v>197</v>
      </c>
      <c r="V28" s="67"/>
      <c r="W28" s="67"/>
      <c r="X28" s="67"/>
    </row>
    <row r="29" spans="1:24" ht="68.25" customHeight="1" x14ac:dyDescent="0.3">
      <c r="A29" s="28" t="s">
        <v>37</v>
      </c>
      <c r="B29" s="6" t="s">
        <v>198</v>
      </c>
      <c r="C29" s="6" t="s">
        <v>199</v>
      </c>
      <c r="D29" s="6" t="s">
        <v>199</v>
      </c>
      <c r="E29" s="6" t="s">
        <v>199</v>
      </c>
      <c r="F29" s="6" t="s">
        <v>199</v>
      </c>
      <c r="G29" s="24" t="s">
        <v>39</v>
      </c>
      <c r="H29" s="7" t="s">
        <v>199</v>
      </c>
      <c r="I29" s="7" t="s">
        <v>199</v>
      </c>
      <c r="J29" s="7" t="s">
        <v>199</v>
      </c>
      <c r="K29" s="7" t="s">
        <v>199</v>
      </c>
      <c r="L29" s="7" t="s">
        <v>200</v>
      </c>
      <c r="M29" s="7" t="s">
        <v>199</v>
      </c>
      <c r="N29" s="7" t="s">
        <v>199</v>
      </c>
      <c r="O29" s="7" t="s">
        <v>200</v>
      </c>
      <c r="P29" s="7" t="s">
        <v>200</v>
      </c>
      <c r="Q29" s="7" t="s">
        <v>201</v>
      </c>
      <c r="R29" s="7" t="s">
        <v>198</v>
      </c>
      <c r="S29" s="7" t="s">
        <v>198</v>
      </c>
      <c r="U29" s="55" t="s">
        <v>202</v>
      </c>
      <c r="V29" s="21" t="s">
        <v>203</v>
      </c>
      <c r="W29" s="21" t="s">
        <v>204</v>
      </c>
      <c r="X29" s="21" t="s">
        <v>205</v>
      </c>
    </row>
    <row r="30" spans="1:24" ht="50.25" customHeight="1" x14ac:dyDescent="0.3">
      <c r="A30" s="28" t="s">
        <v>41</v>
      </c>
      <c r="B30" s="7" t="s">
        <v>206</v>
      </c>
      <c r="C30" s="7" t="s">
        <v>207</v>
      </c>
      <c r="D30" s="7" t="s">
        <v>208</v>
      </c>
      <c r="E30" s="7" t="s">
        <v>209</v>
      </c>
      <c r="F30" s="7" t="s">
        <v>210</v>
      </c>
      <c r="G30" s="24" t="s">
        <v>211</v>
      </c>
      <c r="H30" s="7" t="s">
        <v>48</v>
      </c>
      <c r="I30" s="7" t="s">
        <v>49</v>
      </c>
      <c r="J30" s="7" t="s">
        <v>50</v>
      </c>
      <c r="K30" s="7" t="s">
        <v>51</v>
      </c>
      <c r="L30" s="7" t="s">
        <v>52</v>
      </c>
      <c r="M30" s="7" t="s">
        <v>53</v>
      </c>
      <c r="N30" s="7" t="s">
        <v>54</v>
      </c>
      <c r="O30" s="7" t="s">
        <v>55</v>
      </c>
      <c r="P30" s="7" t="s">
        <v>49</v>
      </c>
      <c r="Q30" s="7" t="s">
        <v>56</v>
      </c>
      <c r="R30" s="7" t="s">
        <v>56</v>
      </c>
      <c r="S30" s="7" t="s">
        <v>57</v>
      </c>
      <c r="U30" s="55" t="s">
        <v>212</v>
      </c>
      <c r="V30" s="21" t="s">
        <v>213</v>
      </c>
      <c r="W30" s="21" t="s">
        <v>214</v>
      </c>
      <c r="X30" s="21" t="s">
        <v>215</v>
      </c>
    </row>
    <row r="31" spans="1:24" ht="99.75" customHeight="1" x14ac:dyDescent="0.3">
      <c r="A31" s="29" t="s">
        <v>58</v>
      </c>
      <c r="B31" s="6" t="s">
        <v>216</v>
      </c>
      <c r="C31" s="6" t="s">
        <v>217</v>
      </c>
      <c r="D31" s="6" t="s">
        <v>218</v>
      </c>
      <c r="E31" s="6" t="s">
        <v>219</v>
      </c>
      <c r="F31" s="6" t="s">
        <v>220</v>
      </c>
      <c r="G31" s="24" t="s">
        <v>61</v>
      </c>
      <c r="H31" s="7" t="s">
        <v>221</v>
      </c>
      <c r="I31" s="7" t="s">
        <v>222</v>
      </c>
      <c r="J31" s="7" t="s">
        <v>223</v>
      </c>
      <c r="K31" s="7" t="s">
        <v>65</v>
      </c>
      <c r="L31" s="7" t="s">
        <v>224</v>
      </c>
      <c r="M31" s="7" t="s">
        <v>67</v>
      </c>
      <c r="N31" s="7" t="s">
        <v>225</v>
      </c>
      <c r="O31" s="7" t="s">
        <v>69</v>
      </c>
      <c r="P31" s="7" t="s">
        <v>226</v>
      </c>
      <c r="Q31" s="7" t="s">
        <v>227</v>
      </c>
      <c r="R31" s="7" t="s">
        <v>228</v>
      </c>
      <c r="S31" s="7" t="s">
        <v>229</v>
      </c>
      <c r="U31" s="55" t="s">
        <v>230</v>
      </c>
      <c r="V31" s="21" t="s">
        <v>231</v>
      </c>
      <c r="W31" s="21" t="s">
        <v>232</v>
      </c>
      <c r="X31" s="21" t="s">
        <v>233</v>
      </c>
    </row>
  </sheetData>
  <mergeCells count="1">
    <mergeCell ref="U28:X2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7"/>
  <sheetViews>
    <sheetView tabSelected="1" topLeftCell="A228" zoomScale="56" zoomScaleNormal="85" workbookViewId="0">
      <selection activeCell="A276" sqref="A276:F277"/>
    </sheetView>
  </sheetViews>
  <sheetFormatPr defaultColWidth="8.5546875" defaultRowHeight="14.25" customHeight="1" x14ac:dyDescent="0.3"/>
  <cols>
    <col min="1" max="1" width="30" style="1" customWidth="1"/>
    <col min="2" max="2" width="12" style="1" customWidth="1"/>
    <col min="3" max="9" width="12" customWidth="1"/>
  </cols>
  <sheetData>
    <row r="1" spans="1:9" ht="14.25" customHeight="1" x14ac:dyDescent="0.3">
      <c r="A1" s="57"/>
      <c r="B1" s="58" t="s">
        <v>250</v>
      </c>
    </row>
    <row r="2" spans="1:9" ht="14.25" customHeight="1" x14ac:dyDescent="0.3">
      <c r="A2" s="42" t="s">
        <v>0</v>
      </c>
      <c r="B2" s="42" t="s">
        <v>234</v>
      </c>
      <c r="C2" s="42" t="s">
        <v>235</v>
      </c>
      <c r="D2" s="42" t="s">
        <v>236</v>
      </c>
      <c r="E2" s="42" t="s">
        <v>237</v>
      </c>
      <c r="F2" s="42" t="s">
        <v>238</v>
      </c>
      <c r="G2" s="42" t="s">
        <v>239</v>
      </c>
      <c r="H2" s="42" t="s">
        <v>240</v>
      </c>
      <c r="I2" s="42" t="s">
        <v>241</v>
      </c>
    </row>
    <row r="3" spans="1:9" ht="14.25" customHeight="1" x14ac:dyDescent="0.3">
      <c r="A3" s="56">
        <v>2000</v>
      </c>
      <c r="B3" s="22">
        <f>USA!I2</f>
        <v>100</v>
      </c>
      <c r="C3" s="23">
        <f>Germany!I2</f>
        <v>100</v>
      </c>
      <c r="D3" s="22">
        <f>China!J2</f>
        <v>100</v>
      </c>
      <c r="E3" s="22">
        <f>Italy!I2</f>
        <v>100</v>
      </c>
      <c r="F3" s="22">
        <f>France!I2</f>
        <v>100</v>
      </c>
      <c r="G3" s="22">
        <f>Japan!J2</f>
        <v>100</v>
      </c>
      <c r="H3" s="22">
        <f>UK!I2</f>
        <v>100</v>
      </c>
      <c r="I3" s="22">
        <f>Iran!I2</f>
        <v>100</v>
      </c>
    </row>
    <row r="4" spans="1:9" ht="14.25" customHeight="1" x14ac:dyDescent="0.3">
      <c r="A4" s="56">
        <v>2001</v>
      </c>
      <c r="B4" s="22">
        <f>USA!I3</f>
        <v>102.25168992057596</v>
      </c>
      <c r="C4" s="23">
        <f>Germany!I3</f>
        <v>101.43653547182194</v>
      </c>
      <c r="D4" s="22">
        <f>China!J3</f>
        <v>102.22397754690343</v>
      </c>
      <c r="E4" s="22">
        <f>Italy!I3</f>
        <v>103.06392225192185</v>
      </c>
      <c r="F4" s="22">
        <f>France!I3</f>
        <v>101.90569059188279</v>
      </c>
      <c r="G4" s="22">
        <f>Japan!J3</f>
        <v>98.9914276460851</v>
      </c>
      <c r="H4" s="22">
        <f>UK!I3</f>
        <v>101.7122003653575</v>
      </c>
      <c r="I4" s="22">
        <f>Iran!I3</f>
        <v>114.80541879462416</v>
      </c>
    </row>
    <row r="5" spans="1:9" ht="14.25" customHeight="1" x14ac:dyDescent="0.3">
      <c r="A5" s="56">
        <v>2002</v>
      </c>
      <c r="B5" s="22">
        <f>USA!I4</f>
        <v>103.84067571700287</v>
      </c>
      <c r="C5" s="23">
        <f>Germany!I4</f>
        <v>102.95461449426023</v>
      </c>
      <c r="D5" s="22">
        <f>China!J4</f>
        <v>102.92176574838776</v>
      </c>
      <c r="E5" s="22">
        <f>Italy!I4</f>
        <v>106.47113220951121</v>
      </c>
      <c r="F5" s="22">
        <f>France!I4</f>
        <v>104.00933590763918</v>
      </c>
      <c r="G5" s="22">
        <f>Japan!J4</f>
        <v>97.610904683708583</v>
      </c>
      <c r="H5" s="22">
        <f>UK!I4</f>
        <v>103.83656304156426</v>
      </c>
      <c r="I5" s="22">
        <f>Iran!I4</f>
        <v>147.27203969408447</v>
      </c>
    </row>
    <row r="6" spans="1:9" ht="14.25" customHeight="1" x14ac:dyDescent="0.3">
      <c r="A6" s="56">
        <v>2003</v>
      </c>
      <c r="B6" s="22">
        <f>USA!I5</f>
        <v>105.89081033029311</v>
      </c>
      <c r="C6" s="23">
        <f>Germany!I5</f>
        <v>104.32174313013734</v>
      </c>
      <c r="D6" s="22">
        <f>China!J5</f>
        <v>105.6592003144242</v>
      </c>
      <c r="E6" s="22">
        <f>Italy!I5</f>
        <v>109.84366179431981</v>
      </c>
      <c r="F6" s="22">
        <f>France!I5</f>
        <v>105.88093751325172</v>
      </c>
      <c r="G6" s="22">
        <f>Japan!J5</f>
        <v>95.87211664709568</v>
      </c>
      <c r="H6" s="22">
        <f>UK!I5</f>
        <v>106.3127947437156</v>
      </c>
      <c r="I6" s="22">
        <f>Iran!I5</f>
        <v>166.61827569132456</v>
      </c>
    </row>
    <row r="7" spans="1:9" ht="14.25" customHeight="1" x14ac:dyDescent="0.3">
      <c r="A7" s="56">
        <v>2004</v>
      </c>
      <c r="B7" s="22">
        <f>USA!I6</f>
        <v>108.73831429054415</v>
      </c>
      <c r="C7" s="23">
        <f>Germany!I6</f>
        <v>105.51789827468403</v>
      </c>
      <c r="D7" s="22">
        <f>China!J6</f>
        <v>113.07716010654603</v>
      </c>
      <c r="E7" s="22">
        <f>Italy!I6</f>
        <v>112.73712392788246</v>
      </c>
      <c r="F7" s="22">
        <f>France!I6</f>
        <v>107.60657101753172</v>
      </c>
      <c r="G7" s="22">
        <f>Japan!J6</f>
        <v>94.644660023652534</v>
      </c>
      <c r="H7" s="22">
        <f>UK!I6</f>
        <v>109.21570779660914</v>
      </c>
      <c r="I7" s="22">
        <f>Iran!I6</f>
        <v>200.84796126097069</v>
      </c>
    </row>
    <row r="8" spans="1:9" ht="14.25" customHeight="1" x14ac:dyDescent="0.3">
      <c r="A8" s="56">
        <v>2005</v>
      </c>
      <c r="B8" s="22">
        <f>USA!I7</f>
        <v>112.14774770908895</v>
      </c>
      <c r="C8" s="23">
        <f>Germany!I7</f>
        <v>106.08247789600489</v>
      </c>
      <c r="D8" s="22">
        <f>China!J7</f>
        <v>117.27223510434146</v>
      </c>
      <c r="E8" s="22">
        <f>Italy!I7</f>
        <v>115.08340543421669</v>
      </c>
      <c r="F8" s="22">
        <f>France!I7</f>
        <v>109.72603363551714</v>
      </c>
      <c r="G8" s="22">
        <f>Japan!J7</f>
        <v>93.430996565712988</v>
      </c>
      <c r="H8" s="22">
        <f>UK!I7</f>
        <v>112.34364047018749</v>
      </c>
      <c r="I8" s="22">
        <f>Iran!I7</f>
        <v>240.03525312621753</v>
      </c>
    </row>
    <row r="9" spans="1:9" ht="14.25" customHeight="1" x14ac:dyDescent="0.3">
      <c r="A9" s="56">
        <v>2006</v>
      </c>
      <c r="B9" s="22">
        <f>USA!I8</f>
        <v>115.6062083809496</v>
      </c>
      <c r="C9" s="23">
        <f>Germany!I8</f>
        <v>106.55563392505265</v>
      </c>
      <c r="D9" s="22">
        <f>China!J8</f>
        <v>121.95847659372039</v>
      </c>
      <c r="E9" s="22">
        <f>Italy!I8</f>
        <v>117.6268419443643</v>
      </c>
      <c r="F9" s="22">
        <f>France!I8</f>
        <v>111.90815356396106</v>
      </c>
      <c r="G9" s="22">
        <f>Japan!J8</f>
        <v>92.55974097556728</v>
      </c>
      <c r="H9" s="22">
        <f>UK!I8</f>
        <v>115.79879829157373</v>
      </c>
      <c r="I9" s="22">
        <f>Iran!I8</f>
        <v>273.32762557241887</v>
      </c>
    </row>
    <row r="10" spans="1:9" ht="14.25" customHeight="1" x14ac:dyDescent="0.3">
      <c r="A10" s="56">
        <v>2007</v>
      </c>
      <c r="B10" s="22">
        <f>USA!I9</f>
        <v>118.73826410454593</v>
      </c>
      <c r="C10" s="23">
        <f>Germany!I9</f>
        <v>108.51440938744368</v>
      </c>
      <c r="D10" s="22">
        <f>China!J9</f>
        <v>131.5522749549184</v>
      </c>
      <c r="E10" s="22">
        <f>Italy!I9</f>
        <v>120.52878480251997</v>
      </c>
      <c r="F10" s="22">
        <f>France!I9</f>
        <v>114.57756367398144</v>
      </c>
      <c r="G10" s="22">
        <f>Japan!J9</f>
        <v>91.676907289882877</v>
      </c>
      <c r="H10" s="22">
        <f>UK!I9</f>
        <v>118.10714477778323</v>
      </c>
      <c r="I10" s="22">
        <f>Iran!I9</f>
        <v>330.76375829227828</v>
      </c>
    </row>
    <row r="11" spans="1:9" ht="14.25" customHeight="1" x14ac:dyDescent="0.3">
      <c r="A11" s="56">
        <v>2008</v>
      </c>
      <c r="B11" s="22">
        <f>USA!I10</f>
        <v>121.02602133713773</v>
      </c>
      <c r="C11" s="23">
        <f>Germany!I10</f>
        <v>109.5560423958577</v>
      </c>
      <c r="D11" s="22">
        <f>China!J10</f>
        <v>141.84935245788878</v>
      </c>
      <c r="E11" s="22">
        <f>Italy!I10</f>
        <v>123.42686363321931</v>
      </c>
      <c r="F11" s="22">
        <f>France!I10</f>
        <v>117.21221827762491</v>
      </c>
      <c r="G11" s="22">
        <f>Japan!J10</f>
        <v>90.849907083559444</v>
      </c>
      <c r="H11" s="22">
        <f>UK!I10</f>
        <v>122.01023806414683</v>
      </c>
      <c r="I11" s="22">
        <f>Iran!I10</f>
        <v>391.85346663841256</v>
      </c>
    </row>
    <row r="12" spans="1:9" ht="14.25" customHeight="1" x14ac:dyDescent="0.3">
      <c r="A12" s="56">
        <v>2009</v>
      </c>
      <c r="B12" s="22">
        <f>USA!I11</f>
        <v>121.77247904624089</v>
      </c>
      <c r="C12" s="23">
        <f>Germany!I11</f>
        <v>111.7143535237213</v>
      </c>
      <c r="D12" s="22">
        <f>China!J11</f>
        <v>141.73653680865425</v>
      </c>
      <c r="E12" s="22">
        <f>Italy!I11</f>
        <v>125.61562394539352</v>
      </c>
      <c r="F12" s="22">
        <f>France!I11</f>
        <v>117.34392005855467</v>
      </c>
      <c r="G12" s="22">
        <f>Japan!J11</f>
        <v>90.437224416471238</v>
      </c>
      <c r="H12" s="22">
        <f>UK!I11</f>
        <v>124.45953332734823</v>
      </c>
      <c r="I12" s="22">
        <f>Iran!I11</f>
        <v>402.49391354109349</v>
      </c>
    </row>
    <row r="13" spans="1:9" ht="14.25" customHeight="1" x14ac:dyDescent="0.3">
      <c r="A13" s="56">
        <v>2010</v>
      </c>
      <c r="B13" s="22">
        <f>USA!I12</f>
        <v>123.25236396589804</v>
      </c>
      <c r="C13" s="23">
        <f>Germany!I12</f>
        <v>112.48817667188811</v>
      </c>
      <c r="D13" s="22">
        <f>China!J12</f>
        <v>151.55158369627878</v>
      </c>
      <c r="E13" s="22">
        <f>Italy!I12</f>
        <v>126.36826779744872</v>
      </c>
      <c r="F13" s="22">
        <f>France!I12</f>
        <v>118.61899597242514</v>
      </c>
      <c r="G13" s="22">
        <f>Japan!J12</f>
        <v>88.726783040441333</v>
      </c>
      <c r="H13" s="22">
        <f>UK!I12</f>
        <v>126.11281812288846</v>
      </c>
      <c r="I13" s="22">
        <f>Iran!I12</f>
        <v>460.28919377632508</v>
      </c>
    </row>
    <row r="14" spans="1:9" ht="14.25" customHeight="1" x14ac:dyDescent="0.3">
      <c r="A14" s="56">
        <v>2011</v>
      </c>
      <c r="B14" s="22">
        <f>USA!I13</f>
        <v>125.79519527975143</v>
      </c>
      <c r="C14" s="23">
        <f>Germany!I13</f>
        <v>113.87305556700721</v>
      </c>
      <c r="D14" s="22">
        <f>China!J13</f>
        <v>163.64221901790202</v>
      </c>
      <c r="E14" s="22">
        <f>Italy!I13</f>
        <v>128.55102388896492</v>
      </c>
      <c r="F14" s="22">
        <f>France!I13</f>
        <v>119.63419716072725</v>
      </c>
      <c r="G14" s="22">
        <f>Japan!J13</f>
        <v>87.340847572706437</v>
      </c>
      <c r="H14" s="22">
        <f>UK!I13</f>
        <v>129.23531877075061</v>
      </c>
      <c r="I14" s="22">
        <f>Iran!I13</f>
        <v>637.80699981801513</v>
      </c>
    </row>
    <row r="15" spans="1:9" ht="14.25" customHeight="1" x14ac:dyDescent="0.3">
      <c r="A15" s="56">
        <v>2012</v>
      </c>
      <c r="B15" s="22">
        <f>USA!I14</f>
        <v>128.13771680357036</v>
      </c>
      <c r="C15" s="23">
        <f>Germany!I14</f>
        <v>115.50456936080494</v>
      </c>
      <c r="D15" s="22">
        <f>China!J14</f>
        <v>167.51011489998419</v>
      </c>
      <c r="E15" s="22">
        <f>Italy!I14</f>
        <v>130.73898105527761</v>
      </c>
      <c r="F15" s="22">
        <f>France!I14</f>
        <v>120.9253376936777</v>
      </c>
      <c r="G15" s="22">
        <f>Japan!J14</f>
        <v>86.623336564558045</v>
      </c>
      <c r="H15" s="22">
        <f>UK!I14</f>
        <v>131.23558251257455</v>
      </c>
      <c r="I15" s="22">
        <f>Iran!I14</f>
        <v>758.69619904964486</v>
      </c>
    </row>
    <row r="16" spans="1:9" ht="14.25" customHeight="1" x14ac:dyDescent="0.3">
      <c r="A16" s="56">
        <v>2013</v>
      </c>
      <c r="B16" s="22">
        <f>USA!I15</f>
        <v>130.31846744216639</v>
      </c>
      <c r="C16" s="23">
        <f>Germany!I15</f>
        <v>117.80228777381171</v>
      </c>
      <c r="D16" s="22">
        <f>China!J15</f>
        <v>171.32563565522722</v>
      </c>
      <c r="E16" s="22">
        <f>Italy!I15</f>
        <v>132.21067735743489</v>
      </c>
      <c r="F16" s="22">
        <f>France!I15</f>
        <v>121.83011882328422</v>
      </c>
      <c r="G16" s="22">
        <f>Japan!J15</f>
        <v>86.467055118169071</v>
      </c>
      <c r="H16" s="22">
        <f>UK!I15</f>
        <v>134.06644922687943</v>
      </c>
      <c r="I16" s="22">
        <f>Iran!I15</f>
        <v>1037.711520981105</v>
      </c>
    </row>
    <row r="17" spans="1:9" ht="14.25" customHeight="1" x14ac:dyDescent="0.3">
      <c r="A17" s="56">
        <v>2014</v>
      </c>
      <c r="B17" s="22">
        <f>USA!I16</f>
        <v>132.58811739789277</v>
      </c>
      <c r="C17" s="23">
        <f>Germany!I16</f>
        <v>119.99512530038339</v>
      </c>
      <c r="D17" s="22">
        <f>China!J16</f>
        <v>173.13357164227287</v>
      </c>
      <c r="E17" s="22">
        <f>Italy!I16</f>
        <v>133.40467663365712</v>
      </c>
      <c r="F17" s="22">
        <f>France!I16</f>
        <v>122.52114770343532</v>
      </c>
      <c r="G17" s="22">
        <f>Japan!J16</f>
        <v>87.976185031819597</v>
      </c>
      <c r="H17" s="22">
        <f>UK!I16</f>
        <v>136.20617073636353</v>
      </c>
      <c r="I17" s="22">
        <f>Iran!I16</f>
        <v>1138.9793884660921</v>
      </c>
    </row>
    <row r="18" spans="1:9" ht="14.25" customHeight="1" x14ac:dyDescent="0.3">
      <c r="A18" s="56">
        <v>2015</v>
      </c>
      <c r="B18" s="22">
        <f>USA!I17</f>
        <v>133.81859186623004</v>
      </c>
      <c r="C18" s="23">
        <f>Germany!I17</f>
        <v>122.07782256380548</v>
      </c>
      <c r="D18" s="22">
        <f>China!J17</f>
        <v>173.33683431355581</v>
      </c>
      <c r="E18" s="22">
        <f>Italy!I17</f>
        <v>134.44912538160818</v>
      </c>
      <c r="F18" s="22">
        <f>France!I17</f>
        <v>123.91362287107681</v>
      </c>
      <c r="G18" s="22">
        <f>Japan!J17</f>
        <v>89.783603933526194</v>
      </c>
      <c r="H18" s="22">
        <f>UK!I17</f>
        <v>137.11762428333719</v>
      </c>
      <c r="I18" s="22">
        <f>Iran!I17</f>
        <v>1141.2231968470305</v>
      </c>
    </row>
    <row r="19" spans="1:9" ht="14.25" customHeight="1" x14ac:dyDescent="0.3">
      <c r="A19" s="56">
        <v>2016</v>
      </c>
      <c r="B19" s="22">
        <f>USA!I18</f>
        <v>135.09030002416031</v>
      </c>
      <c r="C19" s="23">
        <f>Germany!I18</f>
        <v>123.6099116261443</v>
      </c>
      <c r="D19" s="22">
        <f>China!J18</f>
        <v>175.85750157426091</v>
      </c>
      <c r="E19" s="22">
        <f>Italy!I18</f>
        <v>136.12895501848229</v>
      </c>
      <c r="F19" s="22">
        <f>France!I18</f>
        <v>124.56135141688914</v>
      </c>
      <c r="G19" s="22">
        <f>Japan!J18</f>
        <v>90.298078602179359</v>
      </c>
      <c r="H19" s="22">
        <f>UK!I18</f>
        <v>139.49715466818333</v>
      </c>
      <c r="I19" s="22">
        <f>Iran!I18</f>
        <v>1301.7364738685083</v>
      </c>
    </row>
    <row r="20" spans="1:9" ht="14.25" customHeight="1" x14ac:dyDescent="0.3">
      <c r="A20" s="56">
        <v>2017</v>
      </c>
      <c r="B20" s="22">
        <f>USA!I19</f>
        <v>137.50950155653837</v>
      </c>
      <c r="C20" s="23">
        <f>Germany!I19</f>
        <v>125.42299080738988</v>
      </c>
      <c r="D20" s="22">
        <f>China!J19</f>
        <v>183.13365391368117</v>
      </c>
      <c r="E20" s="22">
        <f>Italy!I19</f>
        <v>137.09085245072617</v>
      </c>
      <c r="F20" s="22">
        <f>France!I19</f>
        <v>125.28433981682163</v>
      </c>
      <c r="G20" s="22">
        <f>Japan!J19</f>
        <v>90.337000837987787</v>
      </c>
      <c r="H20" s="22">
        <f>UK!I19</f>
        <v>141.64893710719721</v>
      </c>
      <c r="I20" s="22">
        <f>Iran!I19</f>
        <v>1468.1969846653512</v>
      </c>
    </row>
    <row r="21" spans="1:9" ht="14.25" customHeight="1" x14ac:dyDescent="0.3">
      <c r="A21" s="56">
        <v>2018</v>
      </c>
      <c r="B21" s="22">
        <f>USA!I20</f>
        <v>140.65970032302633</v>
      </c>
      <c r="C21" s="23">
        <f>Germany!I20</f>
        <v>127.75634657126903</v>
      </c>
      <c r="D21" s="22">
        <f>China!J20</f>
        <v>189.40775090515174</v>
      </c>
      <c r="E21" s="22">
        <f>Italy!I20</f>
        <v>138.55887710267811</v>
      </c>
      <c r="F21" s="22">
        <f>France!I20</f>
        <v>126.68121167475857</v>
      </c>
      <c r="G21" s="22">
        <f>Japan!J20</f>
        <v>90.231624275197859</v>
      </c>
      <c r="H21" s="22">
        <f>UK!I20</f>
        <v>144.42917444031943</v>
      </c>
      <c r="I21" s="22">
        <f>Iran!I20</f>
        <v>1951.4012144047886</v>
      </c>
    </row>
    <row r="22" spans="1:9" ht="14.25" customHeight="1" x14ac:dyDescent="0.3">
      <c r="A22" s="56">
        <v>2019</v>
      </c>
      <c r="B22" s="22">
        <f>USA!I21</f>
        <v>142.98122640466642</v>
      </c>
      <c r="C22" s="23">
        <f>Germany!I21</f>
        <v>130.30624657120811</v>
      </c>
      <c r="D22" s="22">
        <f>China!J21</f>
        <v>191.84245347745986</v>
      </c>
      <c r="E22" s="22">
        <f>Italy!I21</f>
        <v>140.0092483423187</v>
      </c>
      <c r="F22" s="22">
        <f>France!I21</f>
        <v>128.21440298149162</v>
      </c>
      <c r="G22" s="22">
        <f>Japan!J21</f>
        <v>90.935886640963602</v>
      </c>
      <c r="H22" s="22">
        <f>UK!I21</f>
        <v>147.98405372364462</v>
      </c>
      <c r="I22" s="22">
        <f>Iran!I21</f>
        <v>2555.0448456429704</v>
      </c>
    </row>
    <row r="23" spans="1:9" ht="14.25" customHeight="1" x14ac:dyDescent="0.3">
      <c r="A23" s="56">
        <v>2020</v>
      </c>
      <c r="B23" s="22">
        <f>USA!I22</f>
        <v>144.90395984374507</v>
      </c>
      <c r="C23" s="23">
        <f>Germany!I22</f>
        <v>132.73047594159203</v>
      </c>
      <c r="D23" s="22">
        <f>China!J22</f>
        <v>192.93496591445836</v>
      </c>
      <c r="E23" s="22">
        <f>Italy!I22</f>
        <v>142.21568069768645</v>
      </c>
      <c r="F23" s="22">
        <f>France!I22</f>
        <v>132.03721479283678</v>
      </c>
      <c r="G23" s="22">
        <f>Japan!J22</f>
        <v>92.056690954110223</v>
      </c>
      <c r="H23" s="22">
        <f>UK!I22</f>
        <v>155.14994602983725</v>
      </c>
      <c r="I23" s="22">
        <f>Iran!I22</f>
        <v>3745.1027268506195</v>
      </c>
    </row>
    <row r="24" spans="1:9" ht="14.25" customHeight="1" x14ac:dyDescent="0.3">
      <c r="A24" s="56">
        <v>2021</v>
      </c>
      <c r="B24" s="22">
        <f>USA!I23</f>
        <v>151.51588745126722</v>
      </c>
      <c r="C24" s="23">
        <f>Germany!I23</f>
        <v>136.31283533109567</v>
      </c>
      <c r="D24" s="22">
        <f>China!J23</f>
        <v>201.51110482561199</v>
      </c>
      <c r="E24" s="22">
        <f>Italy!I23</f>
        <v>144.04248955764689</v>
      </c>
      <c r="F24" s="22">
        <f>France!I23</f>
        <v>133.6416266301903</v>
      </c>
      <c r="G24" s="22">
        <f>Japan!J23</f>
        <v>92.001235479620988</v>
      </c>
      <c r="H24" s="22">
        <f>UK!I23</f>
        <v>156.25423591031179</v>
      </c>
      <c r="I24" s="22">
        <f>Iran!I23</f>
        <v>5837.2291748578664</v>
      </c>
    </row>
    <row r="25" spans="1:9" ht="14.25" customHeight="1" x14ac:dyDescent="0.3">
      <c r="A25" s="56">
        <v>2022</v>
      </c>
      <c r="B25" s="22">
        <f>USA!I24</f>
        <v>162.29245255332637</v>
      </c>
      <c r="C25" s="23">
        <f>Germany!I24</f>
        <v>144.54264134212178</v>
      </c>
      <c r="D25" s="22">
        <f>China!J24</f>
        <v>205.47698064261982</v>
      </c>
      <c r="E25" s="22">
        <f>Italy!I24</f>
        <v>149.01630656622007</v>
      </c>
      <c r="F25" s="22">
        <f>France!I24</f>
        <v>137.67384483853454</v>
      </c>
      <c r="G25" s="22">
        <f>Japan!J24</f>
        <v>92.612500309747787</v>
      </c>
      <c r="H25" s="22">
        <f>UK!I24</f>
        <v>165.12735461827259</v>
      </c>
      <c r="I25" s="22">
        <f>Iran!I24</f>
        <v>8818.7489843490202</v>
      </c>
    </row>
    <row r="26" spans="1:9" ht="14.25" customHeight="1" x14ac:dyDescent="0.3">
      <c r="A26" s="56">
        <v>2023</v>
      </c>
      <c r="B26" s="22">
        <f>USA!I25</f>
        <v>168.29762065800907</v>
      </c>
      <c r="C26" s="23">
        <f>Germany!I25</f>
        <v>154.92671536539743</v>
      </c>
      <c r="D26" s="22">
        <f>China!J25</f>
        <v>204.46669722616596</v>
      </c>
      <c r="E26" s="22">
        <f>Italy!I25</f>
        <v>158.344819198154</v>
      </c>
      <c r="F26" s="22">
        <f>France!I25</f>
        <v>144.65116242469779</v>
      </c>
      <c r="G26" s="22">
        <f>Japan!J25</f>
        <v>96.83869792484154</v>
      </c>
      <c r="H26" s="22">
        <f>UK!I25</f>
        <v>175.60454361539485</v>
      </c>
      <c r="I26" s="22">
        <f>Iran!I25</f>
        <v>12107.590483885277</v>
      </c>
    </row>
    <row r="27" spans="1:9" ht="14.25" customHeight="1" x14ac:dyDescent="0.3">
      <c r="A27" s="56">
        <v>2024</v>
      </c>
      <c r="B27" s="22">
        <f>USA!I26</f>
        <v>172.47538905012175</v>
      </c>
      <c r="C27" s="23">
        <f>Germany!I26</f>
        <v>159.71768924583878</v>
      </c>
      <c r="D27" s="22">
        <f>China!J26</f>
        <v>202.82384607256745</v>
      </c>
      <c r="E27" s="22">
        <f>Italy!I26</f>
        <v>161.46571477694351</v>
      </c>
      <c r="F27" s="22">
        <f>France!I26</f>
        <v>147.60208619935764</v>
      </c>
      <c r="G27" s="22">
        <f>Japan!J26</f>
        <v>99.926041494162973</v>
      </c>
      <c r="H27" s="22">
        <f>UK!I26</f>
        <v>182.51296800031119</v>
      </c>
      <c r="I27" s="22">
        <f>Iran!I26</f>
        <v>15542.587822574933</v>
      </c>
    </row>
    <row r="30" spans="1:9" ht="15.75" customHeight="1" x14ac:dyDescent="0.3">
      <c r="A30" s="59" t="s">
        <v>251</v>
      </c>
    </row>
    <row r="31" spans="1:9" ht="14.25" customHeight="1" x14ac:dyDescent="0.3">
      <c r="A31" s="42" t="s">
        <v>0</v>
      </c>
      <c r="B31" s="42" t="s">
        <v>234</v>
      </c>
      <c r="C31" s="42" t="s">
        <v>235</v>
      </c>
      <c r="D31" s="42" t="s">
        <v>236</v>
      </c>
      <c r="E31" s="42" t="s">
        <v>237</v>
      </c>
      <c r="F31" s="42" t="s">
        <v>238</v>
      </c>
      <c r="G31" s="42" t="s">
        <v>239</v>
      </c>
      <c r="H31" s="42" t="s">
        <v>240</v>
      </c>
      <c r="I31" s="42" t="s">
        <v>241</v>
      </c>
    </row>
    <row r="32" spans="1:9" ht="14.25" customHeight="1" x14ac:dyDescent="0.3">
      <c r="A32" s="56">
        <v>2000</v>
      </c>
      <c r="B32" s="22">
        <f>USA!K2</f>
        <v>100</v>
      </c>
      <c r="C32" s="23">
        <f>Germany!K2</f>
        <v>100</v>
      </c>
      <c r="D32" s="22">
        <f>China!L2</f>
        <v>100</v>
      </c>
      <c r="E32" s="22">
        <f>Italy!K2</f>
        <v>100</v>
      </c>
      <c r="F32" s="22">
        <f>France!K2</f>
        <v>100</v>
      </c>
      <c r="G32" s="22">
        <f>Japan!L2</f>
        <v>100</v>
      </c>
      <c r="H32" s="22">
        <f>UK!K2</f>
        <v>100</v>
      </c>
      <c r="I32" s="22">
        <f>Iran!K2</f>
        <v>100</v>
      </c>
    </row>
    <row r="33" spans="1:9" ht="14.25" customHeight="1" x14ac:dyDescent="0.3">
      <c r="A33" s="56">
        <v>2001</v>
      </c>
      <c r="B33" s="22">
        <f>USA!K3</f>
        <v>99.954920209210684</v>
      </c>
      <c r="C33" s="23">
        <f>Germany!K3</f>
        <v>101.59132931637077</v>
      </c>
      <c r="D33" s="22">
        <f>China!L3</f>
        <v>107.51617997405354</v>
      </c>
      <c r="E33" s="22">
        <f>Italy!K3</f>
        <v>101.79679293434188</v>
      </c>
      <c r="F33" s="22">
        <f>France!K3</f>
        <v>101.0973890718594</v>
      </c>
      <c r="G33" s="22">
        <f>Japan!L3</f>
        <v>100.02959586714233</v>
      </c>
      <c r="H33" s="22">
        <f>UK!K3</f>
        <v>101.99759924759194</v>
      </c>
      <c r="I33" s="22">
        <f>Iran!K3</f>
        <v>100.69562011216797</v>
      </c>
    </row>
    <row r="34" spans="1:9" ht="14.25" customHeight="1" x14ac:dyDescent="0.3">
      <c r="A34" s="56">
        <v>2002</v>
      </c>
      <c r="B34" s="22">
        <f>USA!K4</f>
        <v>100.69084948767464</v>
      </c>
      <c r="C34" s="23">
        <f>Germany!K4</f>
        <v>101.23061766260682</v>
      </c>
      <c r="D34" s="22">
        <f>China!L4</f>
        <v>116.6236669962512</v>
      </c>
      <c r="E34" s="22">
        <f>Italy!K4</f>
        <v>101.84673093600729</v>
      </c>
      <c r="F34" s="22">
        <f>France!K4</f>
        <v>101.49566022499062</v>
      </c>
      <c r="G34" s="22">
        <f>Japan!L4</f>
        <v>99.849486800227197</v>
      </c>
      <c r="H34" s="22">
        <f>UK!K4</f>
        <v>103.30252128435579</v>
      </c>
      <c r="I34" s="22">
        <f>Iran!K4</f>
        <v>107.19062908202517</v>
      </c>
    </row>
    <row r="35" spans="1:9" ht="14.25" customHeight="1" x14ac:dyDescent="0.3">
      <c r="A35" s="56">
        <v>2003</v>
      </c>
      <c r="B35" s="22">
        <f>USA!K5</f>
        <v>102.55450538462027</v>
      </c>
      <c r="C35" s="23">
        <f>Germany!K5</f>
        <v>100.61393072126204</v>
      </c>
      <c r="D35" s="22">
        <f>China!L5</f>
        <v>127.60537293342284</v>
      </c>
      <c r="E35" s="22">
        <f>Italy!K5</f>
        <v>101.44555050126473</v>
      </c>
      <c r="F35" s="22">
        <f>France!K5</f>
        <v>101.7783913573404</v>
      </c>
      <c r="G35" s="22">
        <f>Japan!L5</f>
        <v>101.04763473693659</v>
      </c>
      <c r="H35" s="22">
        <f>UK!K5</f>
        <v>106.13198302404088</v>
      </c>
      <c r="I35" s="22">
        <f>Iran!K5</f>
        <v>114.69629475650476</v>
      </c>
    </row>
    <row r="36" spans="1:9" ht="14.25" customHeight="1" x14ac:dyDescent="0.3">
      <c r="A36" s="56">
        <v>2004</v>
      </c>
      <c r="B36" s="22">
        <f>USA!K6</f>
        <v>105.54327588823038</v>
      </c>
      <c r="C36" s="23">
        <f>Germany!K6</f>
        <v>101.32832375305327</v>
      </c>
      <c r="D36" s="22">
        <f>China!L6</f>
        <v>139.6615516066984</v>
      </c>
      <c r="E36" s="22">
        <f>Italy!K6</f>
        <v>101.95582466216084</v>
      </c>
      <c r="F36" s="22">
        <f>France!K6</f>
        <v>103.58028224487541</v>
      </c>
      <c r="G36" s="22">
        <f>Japan!L6</f>
        <v>103.13710124374467</v>
      </c>
      <c r="H36" s="22">
        <f>UK!K6</f>
        <v>107.98451116867727</v>
      </c>
      <c r="I36" s="22">
        <f>Iran!K6</f>
        <v>117.86692711052299</v>
      </c>
    </row>
    <row r="37" spans="1:9" ht="14.25" customHeight="1" x14ac:dyDescent="0.3">
      <c r="A37" s="56">
        <v>2005</v>
      </c>
      <c r="B37" s="22">
        <f>USA!K7</f>
        <v>108.21221010841788</v>
      </c>
      <c r="C37" s="23">
        <f>Germany!K7</f>
        <v>102.45899584078882</v>
      </c>
      <c r="D37" s="22">
        <f>China!L7</f>
        <v>154.80947422068891</v>
      </c>
      <c r="E37" s="22">
        <f>Italy!K7</f>
        <v>102.52140534043346</v>
      </c>
      <c r="F37" s="22">
        <f>France!K7</f>
        <v>104.84698099366847</v>
      </c>
      <c r="G37" s="22">
        <f>Japan!L7</f>
        <v>105.03016757069041</v>
      </c>
      <c r="H37" s="22">
        <f>UK!K7</f>
        <v>110.238471759958</v>
      </c>
      <c r="I37" s="22">
        <f>Iran!K7</f>
        <v>120.97663743513513</v>
      </c>
    </row>
    <row r="38" spans="1:9" ht="14.25" customHeight="1" x14ac:dyDescent="0.3">
      <c r="A38" s="56">
        <v>2006</v>
      </c>
      <c r="B38" s="22">
        <f>USA!K8</f>
        <v>110.17389940557982</v>
      </c>
      <c r="C38" s="23">
        <f>Germany!K8</f>
        <v>106.7277138827466</v>
      </c>
      <c r="D38" s="22">
        <f>China!L8</f>
        <v>173.49879491757042</v>
      </c>
      <c r="E38" s="22">
        <f>Italy!K8</f>
        <v>104.0482659584315</v>
      </c>
      <c r="F38" s="22">
        <f>France!K8</f>
        <v>107.17680072406841</v>
      </c>
      <c r="G38" s="22">
        <f>Japan!L8</f>
        <v>106.5592958388109</v>
      </c>
      <c r="H38" s="22">
        <f>UK!K8</f>
        <v>111.82748243493781</v>
      </c>
      <c r="I38" s="22">
        <f>Iran!K8</f>
        <v>125.87232549352245</v>
      </c>
    </row>
    <row r="39" spans="1:9" ht="14.25" customHeight="1" x14ac:dyDescent="0.3">
      <c r="A39" s="56">
        <v>2007</v>
      </c>
      <c r="B39" s="22">
        <f>USA!K9</f>
        <v>111.30958112965111</v>
      </c>
      <c r="C39" s="23">
        <f>Germany!K9</f>
        <v>110.07940639219873</v>
      </c>
      <c r="D39" s="22">
        <f>China!L9</f>
        <v>197.10351472917242</v>
      </c>
      <c r="E39" s="22">
        <f>Italy!K9</f>
        <v>104.74333770544544</v>
      </c>
      <c r="F39" s="22">
        <f>France!K9</f>
        <v>109.15652942480085</v>
      </c>
      <c r="G39" s="22">
        <f>Japan!L9</f>
        <v>108.26899541651163</v>
      </c>
      <c r="H39" s="22">
        <f>UK!K9</f>
        <v>114.21224328812207</v>
      </c>
      <c r="I39" s="22">
        <f>Iran!K9</f>
        <v>135.67192460614575</v>
      </c>
    </row>
    <row r="40" spans="1:9" ht="14.25" customHeight="1" x14ac:dyDescent="0.3">
      <c r="A40" s="56">
        <v>2008</v>
      </c>
      <c r="B40" s="22">
        <f>USA!K10</f>
        <v>110.3942558557313</v>
      </c>
      <c r="C40" s="23">
        <f>Germany!K10</f>
        <v>110.9602453082817</v>
      </c>
      <c r="D40" s="22">
        <f>China!L10</f>
        <v>215.11749305533471</v>
      </c>
      <c r="E40" s="22">
        <f>Italy!K10</f>
        <v>102.83748852555918</v>
      </c>
      <c r="F40" s="22">
        <f>France!K10</f>
        <v>108.83217045931019</v>
      </c>
      <c r="G40" s="22">
        <f>Japan!L10</f>
        <v>106.96216505564971</v>
      </c>
      <c r="H40" s="22">
        <f>UK!K10</f>
        <v>113.26089193542268</v>
      </c>
      <c r="I40" s="22">
        <f>Iran!K10</f>
        <v>135.21980478792096</v>
      </c>
    </row>
    <row r="41" spans="1:9" ht="14.25" customHeight="1" x14ac:dyDescent="0.3">
      <c r="A41" s="56">
        <v>2009</v>
      </c>
      <c r="B41" s="22">
        <f>USA!K11</f>
        <v>106.60586412734612</v>
      </c>
      <c r="C41" s="23">
        <f>Germany!K11</f>
        <v>105.12889174768021</v>
      </c>
      <c r="D41" s="22">
        <f>China!L11</f>
        <v>234.17091346765963</v>
      </c>
      <c r="E41" s="22">
        <f>Italy!K11</f>
        <v>96.796985129250771</v>
      </c>
      <c r="F41" s="22">
        <f>France!K11</f>
        <v>105.3244557377663</v>
      </c>
      <c r="G41" s="22">
        <f>Japan!L11</f>
        <v>100.6256033894926</v>
      </c>
      <c r="H41" s="22">
        <f>UK!K11</f>
        <v>107.25084113043692</v>
      </c>
      <c r="I41" s="22">
        <f>Iran!K11</f>
        <v>136.59155636305252</v>
      </c>
    </row>
    <row r="42" spans="1:9" ht="14.25" customHeight="1" x14ac:dyDescent="0.3">
      <c r="A42" s="56">
        <v>2010</v>
      </c>
      <c r="B42" s="22">
        <f>USA!K12</f>
        <v>108.56076172651487</v>
      </c>
      <c r="C42" s="23">
        <f>Germany!K12</f>
        <v>109.50142609132598</v>
      </c>
      <c r="D42" s="22">
        <f>China!L12</f>
        <v>257.74521401267839</v>
      </c>
      <c r="E42" s="22">
        <f>Italy!K12</f>
        <v>97.796229162023508</v>
      </c>
      <c r="F42" s="22">
        <f>France!K12</f>
        <v>106.73104799736022</v>
      </c>
      <c r="G42" s="22">
        <f>Japan!L12</f>
        <v>104.76448399085075</v>
      </c>
      <c r="H42" s="22">
        <f>UK!K12</f>
        <v>108.81892295122351</v>
      </c>
      <c r="I42" s="22">
        <f>Iran!K12</f>
        <v>143.68928189556942</v>
      </c>
    </row>
    <row r="43" spans="1:9" ht="14.25" customHeight="1" x14ac:dyDescent="0.3">
      <c r="A43" s="56">
        <v>2011</v>
      </c>
      <c r="B43" s="22">
        <f>USA!K13</f>
        <v>109.39197652663071</v>
      </c>
      <c r="C43" s="23">
        <f>Germany!K13</f>
        <v>115.83719961307679</v>
      </c>
      <c r="D43" s="22">
        <f>China!L13</f>
        <v>280.69294282628994</v>
      </c>
      <c r="E43" s="22">
        <f>Italy!K13</f>
        <v>98.293457044033815</v>
      </c>
      <c r="F43" s="22">
        <f>France!K13</f>
        <v>108.85373713294273</v>
      </c>
      <c r="G43" s="22">
        <f>Japan!L13</f>
        <v>104.76397756389295</v>
      </c>
      <c r="H43" s="22">
        <f>UK!K13</f>
        <v>108.89112309817051</v>
      </c>
      <c r="I43" s="22">
        <f>Iran!K13</f>
        <v>147.10873878938355</v>
      </c>
    </row>
    <row r="44" spans="1:9" ht="14.25" customHeight="1" x14ac:dyDescent="0.3">
      <c r="A44" s="56">
        <v>2012</v>
      </c>
      <c r="B44" s="22">
        <f>USA!K14</f>
        <v>111.03212379546383</v>
      </c>
      <c r="C44" s="23">
        <f>Germany!K14</f>
        <v>116.43737541474046</v>
      </c>
      <c r="D44" s="22">
        <f>China!L14</f>
        <v>300.8201486573916</v>
      </c>
      <c r="E44" s="22">
        <f>Italy!K14</f>
        <v>94.912630332470613</v>
      </c>
      <c r="F44" s="22">
        <f>France!K14</f>
        <v>108.57494931185265</v>
      </c>
      <c r="G44" s="22">
        <f>Japan!L14</f>
        <v>106.6694455545869</v>
      </c>
      <c r="H44" s="22">
        <f>UK!K14</f>
        <v>109.77059492915564</v>
      </c>
      <c r="I44" s="22">
        <f>Iran!K14</f>
        <v>139.87402885692356</v>
      </c>
    </row>
    <row r="45" spans="1:9" ht="14.25" customHeight="1" x14ac:dyDescent="0.3">
      <c r="A45" s="56">
        <v>2013</v>
      </c>
      <c r="B45" s="22">
        <f>USA!K15</f>
        <v>112.53473553575427</v>
      </c>
      <c r="C45" s="23">
        <f>Germany!K15</f>
        <v>116.7847651755532</v>
      </c>
      <c r="D45" s="22">
        <f>China!L15</f>
        <v>322.13132889657044</v>
      </c>
      <c r="E45" s="22">
        <f>Italy!K15</f>
        <v>92.992965399226719</v>
      </c>
      <c r="F45" s="22">
        <f>France!K15</f>
        <v>109.02035848007792</v>
      </c>
      <c r="G45" s="22">
        <f>Japan!L15</f>
        <v>108.98280198608833</v>
      </c>
      <c r="H45" s="22">
        <f>UK!K15</f>
        <v>110.91361077979587</v>
      </c>
      <c r="I45" s="22">
        <f>Iran!K15</f>
        <v>136.06217156450592</v>
      </c>
    </row>
    <row r="46" spans="1:9" ht="14.25" customHeight="1" x14ac:dyDescent="0.3">
      <c r="A46" s="56">
        <v>2014</v>
      </c>
      <c r="B46" s="22">
        <f>USA!K16</f>
        <v>114.47205389206314</v>
      </c>
      <c r="C46" s="23">
        <f>Germany!K16</f>
        <v>118.89362045233733</v>
      </c>
      <c r="D46" s="22">
        <f>China!L16</f>
        <v>344.11527872037431</v>
      </c>
      <c r="E46" s="22">
        <f>Italy!K16</f>
        <v>93.048923753772513</v>
      </c>
      <c r="F46" s="22">
        <f>France!K16</f>
        <v>109.58648860903499</v>
      </c>
      <c r="G46" s="22">
        <f>Japan!L16</f>
        <v>110.02137058328465</v>
      </c>
      <c r="H46" s="22">
        <f>UK!K16</f>
        <v>113.56698290894398</v>
      </c>
      <c r="I46" s="22">
        <f>Iran!K16</f>
        <v>141.09679364118503</v>
      </c>
    </row>
    <row r="47" spans="1:9" ht="14.25" customHeight="1" x14ac:dyDescent="0.3">
      <c r="A47" s="56">
        <v>2015</v>
      </c>
      <c r="B47" s="22">
        <f>USA!K17</f>
        <v>116.92451395874014</v>
      </c>
      <c r="C47" s="23">
        <f>Germany!K17</f>
        <v>119.66415835811827</v>
      </c>
      <c r="D47" s="22">
        <f>China!L17</f>
        <v>366.06861950046101</v>
      </c>
      <c r="E47" s="22">
        <f>Italy!K17</f>
        <v>93.884506035394111</v>
      </c>
      <c r="F47" s="22">
        <f>France!K17</f>
        <v>110.28694084951658</v>
      </c>
      <c r="G47" s="22">
        <f>Japan!L17</f>
        <v>112.1768044791723</v>
      </c>
      <c r="H47" s="22">
        <f>UK!K17</f>
        <v>115.16370935659901</v>
      </c>
      <c r="I47" s="22">
        <f>Iran!K17</f>
        <v>137.37725983195349</v>
      </c>
    </row>
    <row r="48" spans="1:9" ht="14.25" customHeight="1" x14ac:dyDescent="0.3">
      <c r="A48" s="56">
        <v>2016</v>
      </c>
      <c r="B48" s="22">
        <f>USA!K18</f>
        <v>118.13647885101719</v>
      </c>
      <c r="C48" s="23">
        <f>Germany!K18</f>
        <v>121.32435917151001</v>
      </c>
      <c r="D48" s="22">
        <f>China!L18</f>
        <v>388.72728552920228</v>
      </c>
      <c r="E48" s="22">
        <f>Italy!K18</f>
        <v>95.337252145607039</v>
      </c>
      <c r="F48" s="22">
        <f>France!K18</f>
        <v>110.80761216770551</v>
      </c>
      <c r="G48" s="22">
        <f>Japan!L18</f>
        <v>112.98675671401885</v>
      </c>
      <c r="H48" s="22">
        <f>UK!K18</f>
        <v>116.77367332040691</v>
      </c>
      <c r="I48" s="22">
        <f>Iran!K18</f>
        <v>147.73361956118219</v>
      </c>
    </row>
    <row r="49" spans="1:10" ht="14.25" customHeight="1" x14ac:dyDescent="0.3">
      <c r="A49" s="56">
        <v>2017</v>
      </c>
      <c r="B49" s="22">
        <f>USA!K19</f>
        <v>120.20626355009583</v>
      </c>
      <c r="C49" s="23">
        <f>Germany!K19</f>
        <v>124.7262780899546</v>
      </c>
      <c r="D49" s="22">
        <f>China!L19</f>
        <v>413.04197169913454</v>
      </c>
      <c r="E49" s="22">
        <f>Italy!K19</f>
        <v>97.132823005398947</v>
      </c>
      <c r="F49" s="22">
        <f>France!K19</f>
        <v>112.99387195102415</v>
      </c>
      <c r="G49" s="22">
        <f>Japan!L19</f>
        <v>114.91672776015065</v>
      </c>
      <c r="H49" s="22">
        <f>UK!K19</f>
        <v>119.65108671072548</v>
      </c>
      <c r="I49" s="22">
        <f>Iran!K19</f>
        <v>149.99695102999232</v>
      </c>
    </row>
    <row r="50" spans="1:10" ht="14.25" customHeight="1" x14ac:dyDescent="0.3">
      <c r="A50" s="56">
        <v>2018</v>
      </c>
      <c r="B50" s="22">
        <f>USA!K20</f>
        <v>123.04376116163711</v>
      </c>
      <c r="C50" s="23">
        <f>Germany!K20</f>
        <v>125.93797473632438</v>
      </c>
      <c r="D50" s="22">
        <f>China!L20</f>
        <v>439.07060614715914</v>
      </c>
      <c r="E50" s="22">
        <f>Italy!K20</f>
        <v>97.998959244521743</v>
      </c>
      <c r="F50" s="22">
        <f>France!K20</f>
        <v>114.37377293973987</v>
      </c>
      <c r="G50" s="22">
        <f>Japan!L20</f>
        <v>116.04434284114191</v>
      </c>
      <c r="H50" s="22">
        <f>UK!K20</f>
        <v>120.91519647244353</v>
      </c>
      <c r="I50" s="22">
        <f>Iran!K20</f>
        <v>142.77393197063773</v>
      </c>
    </row>
    <row r="51" spans="1:10" ht="14.25" customHeight="1" x14ac:dyDescent="0.3">
      <c r="A51" s="56">
        <v>2019</v>
      </c>
      <c r="B51" s="22">
        <f>USA!K21</f>
        <v>125.56690468130721</v>
      </c>
      <c r="C51" s="23">
        <f>Germany!K21</f>
        <v>127.05712267783771</v>
      </c>
      <c r="D51" s="22">
        <f>China!L21</f>
        <v>464.20426651929654</v>
      </c>
      <c r="E51" s="22">
        <f>Italy!K21</f>
        <v>98.653045348310044</v>
      </c>
      <c r="F51" s="22">
        <f>France!K21</f>
        <v>116.3900883833127</v>
      </c>
      <c r="G51" s="22">
        <f>Japan!L21</f>
        <v>115.8447593244895</v>
      </c>
      <c r="H51" s="22">
        <f>UK!K21</f>
        <v>121.80763825110638</v>
      </c>
      <c r="I51" s="22">
        <f>Iran!K21</f>
        <v>138.1417116320811</v>
      </c>
    </row>
    <row r="52" spans="1:10" ht="14.25" customHeight="1" x14ac:dyDescent="0.3">
      <c r="A52" s="56">
        <v>2020</v>
      </c>
      <c r="B52" s="22">
        <f>USA!K22</f>
        <v>122.46169922471908</v>
      </c>
      <c r="C52" s="23">
        <f>Germany!K22</f>
        <v>121.36479270951985</v>
      </c>
      <c r="D52" s="22">
        <f>China!L22</f>
        <v>473.75189822134843</v>
      </c>
      <c r="E52" s="22">
        <f>Italy!K22</f>
        <v>90.260170701612878</v>
      </c>
      <c r="F52" s="22">
        <f>France!K22</f>
        <v>107.18775774763792</v>
      </c>
      <c r="G52" s="22">
        <f>Japan!L22</f>
        <v>111.15478769162443</v>
      </c>
      <c r="H52" s="22">
        <f>UK!K22</f>
        <v>109.38465978105405</v>
      </c>
      <c r="I52" s="22">
        <f>Iran!K22</f>
        <v>143.0685986340489</v>
      </c>
    </row>
    <row r="53" spans="1:10" ht="14.25" customHeight="1" x14ac:dyDescent="0.3">
      <c r="A53" s="56">
        <v>2021</v>
      </c>
      <c r="B53" s="22">
        <f>USA!K23</f>
        <v>129.73636361665268</v>
      </c>
      <c r="C53" s="23">
        <f>Germany!K23</f>
        <v>126.05169262911429</v>
      </c>
      <c r="D53" s="22">
        <f>China!L23</f>
        <v>514.03556861426068</v>
      </c>
      <c r="E53" s="22">
        <f>Italy!K23</f>
        <v>98.71362261842944</v>
      </c>
      <c r="F53" s="22">
        <f>France!K23</f>
        <v>114.05775465957122</v>
      </c>
      <c r="G53" s="22">
        <f>Japan!L23</f>
        <v>115.74843717494512</v>
      </c>
      <c r="H53" s="22">
        <f>UK!K23</f>
        <v>118.30761948796722</v>
      </c>
      <c r="I53" s="22">
        <f>Iran!K23</f>
        <v>147.83364805896539</v>
      </c>
    </row>
    <row r="54" spans="1:10" ht="14.25" customHeight="1" x14ac:dyDescent="0.3">
      <c r="A54" s="56">
        <v>2022</v>
      </c>
      <c r="B54" s="22">
        <f>USA!K24</f>
        <v>132.27641295115109</v>
      </c>
      <c r="C54" s="23">
        <f>Germany!K24</f>
        <v>128.53869517175718</v>
      </c>
      <c r="D54" s="22">
        <f>China!L24</f>
        <v>530.04009930381596</v>
      </c>
      <c r="E54" s="22">
        <f>Italy!K24</f>
        <v>103.83386396260492</v>
      </c>
      <c r="F54" s="22">
        <f>France!K24</f>
        <v>116.66375462103515</v>
      </c>
      <c r="G54" s="22">
        <f>Japan!L24</f>
        <v>117.76184111346342</v>
      </c>
      <c r="H54" s="22">
        <f>UK!K24</f>
        <v>123.18987926194738</v>
      </c>
      <c r="I54" s="22">
        <f>Iran!K24</f>
        <v>153.09379472705967</v>
      </c>
    </row>
    <row r="55" spans="1:10" ht="14.25" customHeight="1" x14ac:dyDescent="0.3">
      <c r="A55" s="56">
        <v>2023</v>
      </c>
      <c r="B55" s="22">
        <f>USA!K25</f>
        <v>135.05234050097928</v>
      </c>
      <c r="C55" s="23">
        <f>Germany!K25</f>
        <v>127.32539398719041</v>
      </c>
      <c r="D55" s="22">
        <f>China!L25</f>
        <v>559.24242658308378</v>
      </c>
      <c r="E55" s="22">
        <f>Italy!K25</f>
        <v>104.94474989933467</v>
      </c>
      <c r="F55" s="22">
        <f>France!K25</f>
        <v>118.45956434445834</v>
      </c>
      <c r="G55" s="22">
        <f>Japan!L25</f>
        <v>119.17978287364059</v>
      </c>
      <c r="H55" s="22">
        <f>UK!K25</f>
        <v>121.92021635475538</v>
      </c>
      <c r="I55" s="22">
        <f>Iran!K25</f>
        <v>160.06859049272774</v>
      </c>
    </row>
    <row r="56" spans="1:10" ht="14.25" customHeight="1" x14ac:dyDescent="0.3">
      <c r="A56" s="56">
        <v>2024</v>
      </c>
      <c r="B56" s="22">
        <f>USA!K26</f>
        <v>137.59675875392654</v>
      </c>
      <c r="C56" s="23">
        <f>Germany!K26</f>
        <v>127.02724903343561</v>
      </c>
      <c r="D56" s="22">
        <f>China!L26</f>
        <v>587.92762666851672</v>
      </c>
      <c r="E56" s="22">
        <f>Italy!K26</f>
        <v>105.61651926962699</v>
      </c>
      <c r="F56" s="22">
        <f>France!K26</f>
        <v>119.83488450494555</v>
      </c>
      <c r="G56" s="22">
        <f>Japan!L26</f>
        <v>119.50752065325764</v>
      </c>
      <c r="H56" s="22">
        <f>UK!K26</f>
        <v>121.84863860768628</v>
      </c>
      <c r="I56" s="22">
        <f>Iran!K26</f>
        <v>164.71213475528032</v>
      </c>
    </row>
    <row r="59" spans="1:10" ht="15.75" customHeight="1" x14ac:dyDescent="0.3">
      <c r="A59" s="59" t="s">
        <v>252</v>
      </c>
    </row>
    <row r="60" spans="1:10" ht="14.25" customHeight="1" x14ac:dyDescent="0.3">
      <c r="A60" s="42" t="s">
        <v>0</v>
      </c>
      <c r="B60" s="42" t="s">
        <v>234</v>
      </c>
      <c r="C60" s="42" t="s">
        <v>235</v>
      </c>
      <c r="D60" s="42" t="s">
        <v>236</v>
      </c>
      <c r="E60" s="42" t="s">
        <v>237</v>
      </c>
      <c r="F60" s="42" t="s">
        <v>238</v>
      </c>
      <c r="G60" s="42" t="s">
        <v>239</v>
      </c>
      <c r="H60" s="42" t="s">
        <v>240</v>
      </c>
      <c r="I60" s="42" t="s">
        <v>241</v>
      </c>
      <c r="J60" s="61"/>
    </row>
    <row r="61" spans="1:10" ht="14.25" customHeight="1" x14ac:dyDescent="0.3">
      <c r="A61" s="56">
        <v>2000</v>
      </c>
      <c r="B61" s="22">
        <f>USA!L2</f>
        <v>0</v>
      </c>
      <c r="C61" s="22">
        <f>Germany!L2</f>
        <v>0</v>
      </c>
      <c r="D61" s="22">
        <f>China!M2</f>
        <v>0</v>
      </c>
      <c r="E61" s="22">
        <f>Italy!L2</f>
        <v>0</v>
      </c>
      <c r="F61" s="22">
        <f>France!L2</f>
        <v>0</v>
      </c>
      <c r="G61" s="22">
        <f>Japan!M2</f>
        <v>0</v>
      </c>
      <c r="H61" s="22">
        <f>UK!L2</f>
        <v>0</v>
      </c>
      <c r="I61" s="22">
        <f>Iran!L2</f>
        <v>0</v>
      </c>
    </row>
    <row r="62" spans="1:10" ht="14.25" customHeight="1" x14ac:dyDescent="0.3">
      <c r="A62" s="56">
        <v>2001</v>
      </c>
      <c r="B62" s="22">
        <f>USA!L3</f>
        <v>0.95553834188669351</v>
      </c>
      <c r="C62" s="23">
        <f>Germany!L3</f>
        <v>1.7623755284166973</v>
      </c>
      <c r="D62" s="22">
        <f>China!M3</f>
        <v>8.2999999999999901</v>
      </c>
      <c r="E62" s="22">
        <f>Italy!L3</f>
        <v>1.8591362455519127</v>
      </c>
      <c r="F62" s="22">
        <f>France!L3</f>
        <v>1.83707578079006</v>
      </c>
      <c r="G62" s="22">
        <f>Japan!M3</f>
        <v>0.27091037669623547</v>
      </c>
      <c r="H62" s="22">
        <f>UK!L3</f>
        <v>2.3910223004349982</v>
      </c>
      <c r="I62" s="22">
        <f>Iran!L3</f>
        <v>2.3921727120783576</v>
      </c>
    </row>
    <row r="63" spans="1:10" ht="14.25" customHeight="1" x14ac:dyDescent="0.3">
      <c r="A63" s="56">
        <v>2002</v>
      </c>
      <c r="B63" s="22">
        <f>USA!L4</f>
        <v>1.7004473278453887</v>
      </c>
      <c r="C63" s="23">
        <f>Germany!L4</f>
        <v>-0.18738918337439642</v>
      </c>
      <c r="D63" s="22">
        <f>China!M4</f>
        <v>9.2000000000000028</v>
      </c>
      <c r="E63" s="22">
        <f>Italy!L4</f>
        <v>0.24720386993531229</v>
      </c>
      <c r="F63" s="22">
        <f>France!L4</f>
        <v>1.126504883750397</v>
      </c>
      <c r="G63" s="22">
        <f>Japan!M4</f>
        <v>5.2322797602594444E-2</v>
      </c>
      <c r="H63" s="22">
        <f>UK!L4</f>
        <v>1.7090273676961205</v>
      </c>
      <c r="I63" s="22">
        <f>Iran!L4</f>
        <v>8.0788292797523287</v>
      </c>
    </row>
    <row r="64" spans="1:10" ht="14.25" customHeight="1" x14ac:dyDescent="0.3">
      <c r="A64" s="56">
        <v>2003</v>
      </c>
      <c r="B64" s="22">
        <f>USA!L5</f>
        <v>2.7956128747673592</v>
      </c>
      <c r="C64" s="23">
        <f>Germany!L5</f>
        <v>-0.55414886915674377</v>
      </c>
      <c r="D64" s="22">
        <f>China!M5</f>
        <v>10.1</v>
      </c>
      <c r="E64" s="22">
        <f>Italy!L5</f>
        <v>0.14584235126242295</v>
      </c>
      <c r="F64" s="22">
        <f>France!L5</f>
        <v>0.98867169668454602</v>
      </c>
      <c r="G64" s="22">
        <f>Japan!M5</f>
        <v>1.4167344994399169</v>
      </c>
      <c r="H64" s="22">
        <f>UK!L5</f>
        <v>3.2185160821861256</v>
      </c>
      <c r="I64" s="22">
        <f>Iran!L5</f>
        <v>8.6392983972005428</v>
      </c>
    </row>
    <row r="65" spans="1:9" ht="14.25" customHeight="1" x14ac:dyDescent="0.3">
      <c r="A65" s="56">
        <v>2004</v>
      </c>
      <c r="B65" s="22">
        <f>USA!L6</f>
        <v>3.8477647139641378</v>
      </c>
      <c r="C65" s="23">
        <f>Germany!L6</f>
        <v>0.68817241449563638</v>
      </c>
      <c r="D65" s="22">
        <f>China!M6</f>
        <v>10.100000000000001</v>
      </c>
      <c r="E65" s="22">
        <f>Italy!L6</f>
        <v>1.254151059647463</v>
      </c>
      <c r="F65" s="22">
        <f>France!L6</f>
        <v>2.5187399823060161</v>
      </c>
      <c r="G65" s="22">
        <f>Japan!M6</f>
        <v>2.1021675904314305</v>
      </c>
      <c r="H65" s="22">
        <f>UK!L6</f>
        <v>2.3260185502209203</v>
      </c>
      <c r="I65" s="22">
        <f>Iran!L6</f>
        <v>4.336665978510772</v>
      </c>
    </row>
    <row r="66" spans="1:9" ht="14.25" customHeight="1" x14ac:dyDescent="0.3">
      <c r="A66" s="56">
        <v>2005</v>
      </c>
      <c r="B66" s="22">
        <f>USA!L7</f>
        <v>3.4835564080393038</v>
      </c>
      <c r="C66" s="23">
        <f>Germany!L7</f>
        <v>1.0584544608760611</v>
      </c>
      <c r="D66" s="22">
        <f>China!M7</f>
        <v>11.499999999999998</v>
      </c>
      <c r="E66" s="22">
        <f>Italy!L7</f>
        <v>1.143338234713009</v>
      </c>
      <c r="F66" s="22">
        <f>France!L7</f>
        <v>1.9868633827927979</v>
      </c>
      <c r="G66" s="22">
        <f>Japan!M7</f>
        <v>1.8450502312056138</v>
      </c>
      <c r="H66" s="22">
        <f>UK!L7</f>
        <v>2.7906547346794932</v>
      </c>
      <c r="I66" s="22">
        <f>Iran!L7</f>
        <v>4.2086903560723448</v>
      </c>
    </row>
    <row r="67" spans="1:9" ht="14.25" customHeight="1" x14ac:dyDescent="0.3">
      <c r="A67" s="56">
        <v>2006</v>
      </c>
      <c r="B67" s="22">
        <f>USA!L8</f>
        <v>2.7845332093066575</v>
      </c>
      <c r="C67" s="23">
        <f>Germany!L8</f>
        <v>4.048838941028273</v>
      </c>
      <c r="D67" s="22">
        <f>China!M8</f>
        <v>12.700000000000006</v>
      </c>
      <c r="E67" s="22">
        <f>Italy!L8</f>
        <v>1.8961601481504307</v>
      </c>
      <c r="F67" s="22">
        <f>France!L8</f>
        <v>2.9364103609033827</v>
      </c>
      <c r="G67" s="22">
        <f>Japan!M8</f>
        <v>1.5202109626587035</v>
      </c>
      <c r="H67" s="22">
        <f>UK!L8</f>
        <v>2.189821288298051</v>
      </c>
      <c r="I67" s="22">
        <f>Iran!L8</f>
        <v>5.7042519175931048</v>
      </c>
    </row>
    <row r="68" spans="1:9" ht="14.25" customHeight="1" x14ac:dyDescent="0.3">
      <c r="A68" s="56">
        <v>2007</v>
      </c>
      <c r="B68" s="22">
        <f>USA!L9</f>
        <v>2.0038643843528874</v>
      </c>
      <c r="C68" s="23">
        <f>Germany!L9</f>
        <v>3.0025886929144261</v>
      </c>
      <c r="D68" s="22">
        <f>China!M9</f>
        <v>14.199999999999987</v>
      </c>
      <c r="E68" s="22">
        <f>Italy!L9</f>
        <v>1.2823562934461998</v>
      </c>
      <c r="F68" s="22">
        <f>France!L9</f>
        <v>2.4787572356275844</v>
      </c>
      <c r="G68" s="22">
        <f>Japan!M9</f>
        <v>1.7212780219238839</v>
      </c>
      <c r="H68" s="22">
        <f>UK!L9</f>
        <v>2.9309113329612533</v>
      </c>
      <c r="I68" s="22">
        <f>Iran!L9</f>
        <v>9.1161673653034541</v>
      </c>
    </row>
    <row r="69" spans="1:9" ht="14.25" customHeight="1" x14ac:dyDescent="0.3">
      <c r="A69" s="56">
        <v>2008</v>
      </c>
      <c r="B69" s="22">
        <f>USA!L10</f>
        <v>0.11358127566824477</v>
      </c>
      <c r="C69" s="23">
        <f>Germany!L10</f>
        <v>0.60870277971957465</v>
      </c>
      <c r="D69" s="22">
        <f>China!M10</f>
        <v>9.7000000000000028</v>
      </c>
      <c r="E69" s="22">
        <f>Italy!L10</f>
        <v>-1.0593569674110255</v>
      </c>
      <c r="F69" s="22">
        <f>France!L10</f>
        <v>0.26076734325979184</v>
      </c>
      <c r="G69" s="22">
        <f>Japan!M10</f>
        <v>-1.1591693098249445</v>
      </c>
      <c r="H69" s="22">
        <f>UK!L10</f>
        <v>-4.9411654562256088E-2</v>
      </c>
      <c r="I69" s="22">
        <f>Iran!L10</f>
        <v>0.92369579212998809</v>
      </c>
    </row>
    <row r="70" spans="1:9" ht="14.25" customHeight="1" x14ac:dyDescent="0.3">
      <c r="A70" s="56">
        <v>2009</v>
      </c>
      <c r="B70" s="22">
        <f>USA!L11</f>
        <v>-2.5764942733017953</v>
      </c>
      <c r="C70" s="23">
        <f>Germany!L11</f>
        <v>-5.4951172099375585</v>
      </c>
      <c r="D70" s="22">
        <f>China!M11</f>
        <v>9.4000000000000021</v>
      </c>
      <c r="E70" s="22">
        <f>Italy!L11</f>
        <v>-5.3265539891822016</v>
      </c>
      <c r="F70" s="22">
        <f>France!L11</f>
        <v>-2.7249666772153627</v>
      </c>
      <c r="G70" s="22">
        <f>Japan!M11</f>
        <v>-5.9358687022556369</v>
      </c>
      <c r="H70" s="22">
        <f>UK!L11</f>
        <v>-4.5874081963288935</v>
      </c>
      <c r="I70" s="22">
        <f>Iran!L11</f>
        <v>2.3147106193100053</v>
      </c>
    </row>
    <row r="71" spans="1:9" ht="14.25" customHeight="1" x14ac:dyDescent="0.3">
      <c r="A71" s="56">
        <v>2010</v>
      </c>
      <c r="B71" s="22">
        <f>USA!L12</f>
        <v>2.6951924174959689</v>
      </c>
      <c r="C71" s="23">
        <f>Germany!L12</f>
        <v>3.999764691356082</v>
      </c>
      <c r="D71" s="22">
        <f>China!M12</f>
        <v>10.600000000000012</v>
      </c>
      <c r="E71" s="22">
        <f>Italy!L12</f>
        <v>1.480089714577612</v>
      </c>
      <c r="F71" s="22">
        <f>France!L12</f>
        <v>1.8362783329115673</v>
      </c>
      <c r="G71" s="22">
        <f>Japan!M12</f>
        <v>4.1318495689043209</v>
      </c>
      <c r="H71" s="22">
        <f>UK!L12</f>
        <v>2.260544617770389</v>
      </c>
      <c r="I71" s="22">
        <f>Iran!L12</f>
        <v>6.5773743524642425</v>
      </c>
    </row>
    <row r="72" spans="1:9" ht="14.25" customHeight="1" x14ac:dyDescent="0.3">
      <c r="A72" s="56">
        <v>2011</v>
      </c>
      <c r="B72" s="22">
        <f>USA!L13</f>
        <v>1.5644067621967701</v>
      </c>
      <c r="C72" s="23">
        <f>Germany!L13</f>
        <v>3.8431118865977361</v>
      </c>
      <c r="D72" s="22">
        <f>China!M13</f>
        <v>9.5000000000000018</v>
      </c>
      <c r="E72" s="22">
        <f>Italy!L13</f>
        <v>0.85696270915436179</v>
      </c>
      <c r="F72" s="22">
        <f>France!L13</f>
        <v>2.4822773818243409</v>
      </c>
      <c r="G72" s="22">
        <f>Japan!M13</f>
        <v>-0.18553754912203441</v>
      </c>
      <c r="H72" s="22">
        <f>UK!L13</f>
        <v>0.85143773730987982</v>
      </c>
      <c r="I72" s="22">
        <f>Iran!L13</f>
        <v>3.7496904856479421</v>
      </c>
    </row>
    <row r="73" spans="1:9" ht="14.25" customHeight="1" x14ac:dyDescent="0.3">
      <c r="A73" s="56">
        <v>2012</v>
      </c>
      <c r="B73" s="22">
        <f>USA!L14</f>
        <v>2.2891073878057369</v>
      </c>
      <c r="C73" s="23">
        <f>Germany!L14</f>
        <v>0.70699777745235703</v>
      </c>
      <c r="D73" s="22">
        <f>China!M14</f>
        <v>7.8999999999999932</v>
      </c>
      <c r="E73" s="22">
        <f>Italy!L14</f>
        <v>-3.1750566084242191</v>
      </c>
      <c r="F73" s="22">
        <f>France!L14</f>
        <v>0.22753254374543119</v>
      </c>
      <c r="G73" s="22">
        <f>Japan!M14</f>
        <v>1.6563340852236992</v>
      </c>
      <c r="H73" s="22">
        <f>UK!L14</f>
        <v>1.5282603445570875</v>
      </c>
      <c r="I73" s="22">
        <f>Iran!L14</f>
        <v>-3.7471713986414099</v>
      </c>
    </row>
    <row r="74" spans="1:9" ht="14.25" customHeight="1" x14ac:dyDescent="0.3">
      <c r="A74" s="56">
        <v>2013</v>
      </c>
      <c r="B74" s="22">
        <f>USA!L15</f>
        <v>2.1178300978646964</v>
      </c>
      <c r="C74" s="23">
        <f>Germany!L15</f>
        <v>0.57243724679264552</v>
      </c>
      <c r="D74" s="22">
        <f>China!M15</f>
        <v>7.8000000000000069</v>
      </c>
      <c r="E74" s="22">
        <f>Italy!L15</f>
        <v>-1.8266320076835838</v>
      </c>
      <c r="F74" s="22">
        <f>France!L15</f>
        <v>0.93061134811505353</v>
      </c>
      <c r="G74" s="22">
        <f>Japan!M15</f>
        <v>2.0214207032064024</v>
      </c>
      <c r="H74" s="22">
        <f>UK!L15</f>
        <v>1.7184696201136038</v>
      </c>
      <c r="I74" s="22">
        <f>Iran!L15</f>
        <v>-1.5219792049416137</v>
      </c>
    </row>
    <row r="75" spans="1:9" ht="14.25" customHeight="1" x14ac:dyDescent="0.3">
      <c r="A75" s="56">
        <v>2014</v>
      </c>
      <c r="B75" s="22">
        <f>USA!L16</f>
        <v>2.523819813726194</v>
      </c>
      <c r="C75" s="23">
        <f>Germany!L16</f>
        <v>2.2310533414296359</v>
      </c>
      <c r="D75" s="22">
        <f>China!M16</f>
        <v>7.4999999999999876</v>
      </c>
      <c r="E75" s="22">
        <f>Italy!L16</f>
        <v>7.5262255224321353E-2</v>
      </c>
      <c r="F75" s="22">
        <f>France!L16</f>
        <v>0.99773717820990004</v>
      </c>
      <c r="G75" s="22">
        <f>Japan!M16</f>
        <v>0.81909567168763264</v>
      </c>
      <c r="H75" s="22">
        <f>UK!L16</f>
        <v>3.1601734926926186</v>
      </c>
      <c r="I75" s="22">
        <f>Iran!L16</f>
        <v>4.9847750670949198</v>
      </c>
    </row>
    <row r="76" spans="1:9" ht="14.25" customHeight="1" x14ac:dyDescent="0.3">
      <c r="A76" s="56">
        <v>2015</v>
      </c>
      <c r="B76" s="22">
        <f>USA!L17</f>
        <v>2.9455504559977195</v>
      </c>
      <c r="C76" s="23">
        <f>Germany!L17</f>
        <v>1.5231857781675853</v>
      </c>
      <c r="D76" s="22">
        <f>China!M17</f>
        <v>7.0000000000000115</v>
      </c>
      <c r="E76" s="22">
        <f>Italy!L17</f>
        <v>0.7456175207258583</v>
      </c>
      <c r="F76" s="22">
        <f>France!L17</f>
        <v>0.99765645831359928</v>
      </c>
      <c r="G76" s="22">
        <f>Japan!M17</f>
        <v>1.8509580508362786</v>
      </c>
      <c r="H76" s="22">
        <f>UK!L17</f>
        <v>2.1404056110619543</v>
      </c>
      <c r="I76" s="22">
        <f>Iran!L17</f>
        <v>-1.424884939374917</v>
      </c>
    </row>
    <row r="77" spans="1:9" ht="14.25" customHeight="1" x14ac:dyDescent="0.3">
      <c r="A77" s="56">
        <v>2016</v>
      </c>
      <c r="B77" s="22">
        <f>USA!L18</f>
        <v>1.8194514762052094</v>
      </c>
      <c r="C77" s="23">
        <f>Germany!L18</f>
        <v>2.2091133923071529</v>
      </c>
      <c r="D77" s="22">
        <f>China!M18</f>
        <v>6.7999999999999989</v>
      </c>
      <c r="E77" s="22">
        <f>Italy!L18</f>
        <v>1.3545272337265399</v>
      </c>
      <c r="F77" s="22">
        <f>France!L18</f>
        <v>0.73757066243545577</v>
      </c>
      <c r="G77" s="22">
        <f>Japan!M18</f>
        <v>0.67053835427166308</v>
      </c>
      <c r="H77" s="22">
        <f>UK!L18</f>
        <v>2.2065202160067585</v>
      </c>
      <c r="I77" s="22">
        <f>Iran!L18</f>
        <v>8.8150866425181924</v>
      </c>
    </row>
    <row r="78" spans="1:9" ht="14.25" customHeight="1" x14ac:dyDescent="0.3">
      <c r="A78" s="56">
        <v>2017</v>
      </c>
      <c r="B78" s="22">
        <f>USA!L19</f>
        <v>2.4576275259548934</v>
      </c>
      <c r="C78" s="23">
        <f>Germany!L19</f>
        <v>3.1889092933017387</v>
      </c>
      <c r="D78" s="22">
        <f>China!M19</f>
        <v>6.9</v>
      </c>
      <c r="E78" s="22">
        <f>Italy!L19</f>
        <v>1.6919250626381044</v>
      </c>
      <c r="F78" s="22">
        <f>France!L19</f>
        <v>2.2693807801036066</v>
      </c>
      <c r="G78" s="22">
        <f>Japan!M19</f>
        <v>1.6249004252931583</v>
      </c>
      <c r="H78" s="22">
        <f>UK!L19</f>
        <v>3.0232221788549589</v>
      </c>
      <c r="I78" s="22">
        <f>Iran!L19</f>
        <v>3.026854686940232</v>
      </c>
    </row>
    <row r="79" spans="1:9" ht="14.25" customHeight="1" x14ac:dyDescent="0.3">
      <c r="A79" s="56">
        <v>2018</v>
      </c>
      <c r="B79" s="22">
        <f>USA!L20</f>
        <v>2.9664947201225758</v>
      </c>
      <c r="C79" s="23">
        <f>Germany!L20</f>
        <v>1.2753873485899518</v>
      </c>
      <c r="D79" s="22">
        <f>China!M20</f>
        <v>6.8000000000000087</v>
      </c>
      <c r="E79" s="22">
        <f>Italy!L20</f>
        <v>0.6814676563567218</v>
      </c>
      <c r="F79" s="22">
        <f>France!L20</f>
        <v>1.5847413424888785</v>
      </c>
      <c r="G79" s="22">
        <f>Japan!M20</f>
        <v>0.85320155445740231</v>
      </c>
      <c r="H79" s="22">
        <f>UK!L20</f>
        <v>1.5513309622721265</v>
      </c>
      <c r="I79" s="22">
        <f>Iran!L20</f>
        <v>-3.7479601571133219</v>
      </c>
    </row>
    <row r="80" spans="1:9" ht="14.25" customHeight="1" x14ac:dyDescent="0.3">
      <c r="A80" s="56">
        <v>2019</v>
      </c>
      <c r="B80" s="22">
        <f>USA!L21</f>
        <v>2.5838353621230485</v>
      </c>
      <c r="C80" s="23">
        <f>Germany!L21</f>
        <v>1.1164308080934406</v>
      </c>
      <c r="D80" s="22">
        <f>China!M21</f>
        <v>6.0999999999999917</v>
      </c>
      <c r="E80" s="22">
        <f>Italy!L21</f>
        <v>0.41838432331905695</v>
      </c>
      <c r="F80" s="22">
        <f>France!L21</f>
        <v>2.101902885141028</v>
      </c>
      <c r="G80" s="22">
        <f>Japan!M21</f>
        <v>-0.3121139674744533</v>
      </c>
      <c r="H80" s="22">
        <f>UK!L21</f>
        <v>1.2562990120422148</v>
      </c>
      <c r="I80" s="22">
        <f>Iran!L21</f>
        <v>-2.3614353877057579</v>
      </c>
    </row>
    <row r="81" spans="1:9" ht="14.25" customHeight="1" x14ac:dyDescent="0.3">
      <c r="A81" s="56">
        <v>2020</v>
      </c>
      <c r="B81" s="22">
        <f>USA!L22</f>
        <v>-2.0813807053905791</v>
      </c>
      <c r="C81" s="23">
        <f>Germany!L22</f>
        <v>-4.4020694068193107</v>
      </c>
      <c r="D81" s="22">
        <f>China!M22</f>
        <v>2.2999999999999852</v>
      </c>
      <c r="E81" s="22">
        <f>Italy!L22</f>
        <v>-8.9520383779911867</v>
      </c>
      <c r="F81" s="22">
        <f>France!L22</f>
        <v>-7.6070732426070338</v>
      </c>
      <c r="G81" s="22">
        <f>Japan!M22</f>
        <v>-4.3303663551756921</v>
      </c>
      <c r="H81" s="22">
        <f>UK!L22</f>
        <v>-10.047896643494491</v>
      </c>
      <c r="I81" s="22">
        <f>Iran!L22</f>
        <v>4.4418086535867216</v>
      </c>
    </row>
    <row r="82" spans="1:9" ht="14.25" customHeight="1" x14ac:dyDescent="0.3">
      <c r="A82" s="56">
        <v>2021</v>
      </c>
      <c r="B82" s="22">
        <f>USA!L23</f>
        <v>6.152022480218883</v>
      </c>
      <c r="C82" s="23">
        <f>Germany!L23</f>
        <v>3.9057992676894102</v>
      </c>
      <c r="D82" s="22">
        <f>China!M23</f>
        <v>8.6000000000000014</v>
      </c>
      <c r="E82" s="22">
        <f>Italy!L23</f>
        <v>8.8032121852111054</v>
      </c>
      <c r="F82" s="22">
        <f>France!L23</f>
        <v>6.7897669903770579</v>
      </c>
      <c r="G82" s="22">
        <f>Japan!M23</f>
        <v>3.6547991541814047</v>
      </c>
      <c r="H82" s="22">
        <f>UK!L23</f>
        <v>8.5431118437083917</v>
      </c>
      <c r="I82" s="22">
        <f>Iran!L23</f>
        <v>4.1308968503447039</v>
      </c>
    </row>
    <row r="83" spans="1:9" ht="14.25" customHeight="1" x14ac:dyDescent="0.3">
      <c r="A83" s="56">
        <v>2022</v>
      </c>
      <c r="B83" s="22">
        <f>USA!L24</f>
        <v>2.5242138512429255</v>
      </c>
      <c r="C83" s="23">
        <f>Germany!L24</f>
        <v>1.9506147840456129</v>
      </c>
      <c r="D83" s="22">
        <f>China!M24</f>
        <v>3.0999999999999934</v>
      </c>
      <c r="E83" s="22">
        <f>Italy!L24</f>
        <v>4.9743862469792175</v>
      </c>
      <c r="F83" s="22">
        <f>France!L24</f>
        <v>2.7998979655314757</v>
      </c>
      <c r="G83" s="22">
        <f>Japan!M24</f>
        <v>1.2888934396112672</v>
      </c>
      <c r="H83" s="22">
        <f>UK!L24</f>
        <v>5.1497039021777695</v>
      </c>
      <c r="I83" s="22">
        <f>Iran!L24</f>
        <v>4.3528108752134198</v>
      </c>
    </row>
    <row r="84" spans="1:9" ht="14.25" customHeight="1" x14ac:dyDescent="0.3">
      <c r="A84" s="56">
        <v>2023</v>
      </c>
      <c r="B84" s="22">
        <f>USA!L25</f>
        <v>2.9343632211932555</v>
      </c>
      <c r="C84" s="23">
        <f>Germany!L25</f>
        <v>-0.81356359586968918</v>
      </c>
      <c r="D84" s="22">
        <f>China!M25</f>
        <v>5.4000000000000066</v>
      </c>
      <c r="E84" s="22">
        <f>Italy!L25</f>
        <v>1.0194293179535514</v>
      </c>
      <c r="F84" s="22">
        <f>France!L25</f>
        <v>1.8190161199480155</v>
      </c>
      <c r="G84" s="22">
        <f>Japan!M25</f>
        <v>0.7120366462398241</v>
      </c>
      <c r="H84" s="22">
        <f>UK!L25</f>
        <v>0.27165002615943112</v>
      </c>
      <c r="I84" s="22">
        <f>Iran!L25</f>
        <v>5.3323511721640928</v>
      </c>
    </row>
    <row r="85" spans="1:9" ht="14.25" customHeight="1" x14ac:dyDescent="0.3">
      <c r="A85" s="56">
        <v>2024</v>
      </c>
      <c r="B85" s="22">
        <f>USA!L26</f>
        <v>2.7931871539161364</v>
      </c>
      <c r="C85" s="23">
        <f>Germany!L26</f>
        <v>4.0531606401049004E-2</v>
      </c>
      <c r="D85" s="22">
        <f>China!M26</f>
        <v>5.0000000000000036</v>
      </c>
      <c r="E85" s="22">
        <f>Italy!L26</f>
        <v>0.58635073578461494</v>
      </c>
      <c r="F85" s="22">
        <f>France!L26</f>
        <v>1.4263884112210379</v>
      </c>
      <c r="G85" s="22">
        <f>Japan!M26</f>
        <v>-0.16090508341253579</v>
      </c>
      <c r="H85" s="22">
        <f>UK!L26</f>
        <v>1.0424160769489028</v>
      </c>
      <c r="I85" s="22">
        <f>Iran!L26</f>
        <v>3.6631205683071655</v>
      </c>
    </row>
    <row r="88" spans="1:9" ht="15.75" customHeight="1" x14ac:dyDescent="0.3">
      <c r="A88" s="59" t="s">
        <v>242</v>
      </c>
    </row>
    <row r="89" spans="1:9" ht="14.25" customHeight="1" x14ac:dyDescent="0.3">
      <c r="A89" s="42" t="s">
        <v>243</v>
      </c>
      <c r="B89" s="42" t="s">
        <v>244</v>
      </c>
      <c r="C89" s="42" t="s">
        <v>245</v>
      </c>
      <c r="D89" s="42" t="s">
        <v>246</v>
      </c>
      <c r="E89" s="42" t="s">
        <v>247</v>
      </c>
    </row>
    <row r="90" spans="1:9" ht="14.25" customHeight="1" x14ac:dyDescent="0.3">
      <c r="A90" s="56" t="s">
        <v>234</v>
      </c>
      <c r="B90">
        <f>AVERAGE(USA!L2:L9)</f>
        <v>2.5101881800232038</v>
      </c>
      <c r="C90">
        <f>AVERAGE(USA!L10:L11)</f>
        <v>-1.2314564988167753</v>
      </c>
      <c r="D90">
        <f>AVERAGE(USA!L12:L21)</f>
        <v>2.3963316019492815</v>
      </c>
      <c r="E90">
        <f>AVERAGE(USA!L22:L26)</f>
        <v>2.4644812002361243</v>
      </c>
    </row>
    <row r="91" spans="1:9" ht="14.25" customHeight="1" x14ac:dyDescent="0.3">
      <c r="A91" s="56" t="s">
        <v>235</v>
      </c>
      <c r="B91">
        <f>AVERAGE(Germany!L2:L9)</f>
        <v>1.4026988550285648</v>
      </c>
      <c r="C91">
        <f>AVERAGE(Germany!L10:L11)</f>
        <v>-2.4432072151089921</v>
      </c>
      <c r="D91">
        <f>AVERAGE(Germany!L12:L21)</f>
        <v>2.0666391564088324</v>
      </c>
      <c r="E91">
        <f>AVERAGE(Germany!L22:L26)</f>
        <v>0.13626253108941447</v>
      </c>
    </row>
    <row r="92" spans="1:9" ht="14.25" customHeight="1" x14ac:dyDescent="0.3">
      <c r="A92" s="56" t="s">
        <v>236</v>
      </c>
      <c r="B92">
        <f>AVERAGE(China!M2:M9)</f>
        <v>10.87142857142857</v>
      </c>
      <c r="C92">
        <f>AVERAGE(China!M10:M11)</f>
        <v>9.5500000000000025</v>
      </c>
      <c r="D92">
        <f>AVERAGE(China!M12:M21)</f>
        <v>7.6900000000000022</v>
      </c>
      <c r="E92">
        <f>AVERAGE(China!M22:M26)</f>
        <v>4.8799999999999972</v>
      </c>
    </row>
    <row r="93" spans="1:9" ht="14.25" customHeight="1" x14ac:dyDescent="0.3">
      <c r="A93" s="56" t="s">
        <v>237</v>
      </c>
      <c r="B93">
        <f>AVERAGE(Italy!L2:L9)</f>
        <v>1.1183126003866788</v>
      </c>
      <c r="C93">
        <f>AVERAGE(Italy!L10:L11)</f>
        <v>-3.1929554782966134</v>
      </c>
      <c r="D93">
        <f>AVERAGE(Italy!L12:L21)</f>
        <v>0.23025478596147736</v>
      </c>
      <c r="E93">
        <f>AVERAGE(Italy!L22:L26)</f>
        <v>1.2862680215874605</v>
      </c>
    </row>
    <row r="94" spans="1:9" ht="14.25" customHeight="1" x14ac:dyDescent="0.3">
      <c r="A94" s="56" t="s">
        <v>238</v>
      </c>
      <c r="B94">
        <f>AVERAGE(France!L2:L9)</f>
        <v>1.9818604746935407</v>
      </c>
      <c r="C94">
        <f>AVERAGE(France!L10:L11)</f>
        <v>-1.2320996669777855</v>
      </c>
      <c r="D94">
        <f>AVERAGE(France!L12:L21)</f>
        <v>1.4165688913288863</v>
      </c>
      <c r="E94">
        <f>AVERAGE(France!L22:L26)</f>
        <v>1.0455992488941106</v>
      </c>
    </row>
    <row r="95" spans="1:9" ht="14.25" customHeight="1" x14ac:dyDescent="0.3">
      <c r="A95" s="56" t="s">
        <v>239</v>
      </c>
      <c r="B95">
        <f>AVERAGE(Japan!M2:M9)</f>
        <v>1.2755249257083396</v>
      </c>
      <c r="C95">
        <f>AVERAGE(Japan!M10:M11)</f>
        <v>-3.5475190060402908</v>
      </c>
      <c r="D95">
        <f>AVERAGE(Japan!M12:M21)</f>
        <v>1.3130646897284073</v>
      </c>
      <c r="E95">
        <f>AVERAGE(Japan!M22:M26)</f>
        <v>0.23289156028885363</v>
      </c>
    </row>
    <row r="96" spans="1:9" ht="14.25" customHeight="1" x14ac:dyDescent="0.3">
      <c r="A96" s="56" t="s">
        <v>240</v>
      </c>
      <c r="B96">
        <f>AVERAGE(UK!L2:L9)</f>
        <v>2.5079959509252805</v>
      </c>
      <c r="C96">
        <f>AVERAGE(UK!L10:L11)</f>
        <v>-2.3184099254455748</v>
      </c>
      <c r="D96">
        <f>AVERAGE(UK!L12:L21)</f>
        <v>1.969666379268159</v>
      </c>
      <c r="E96">
        <f>AVERAGE(UK!L22:L26)</f>
        <v>0.99179704110000078</v>
      </c>
    </row>
    <row r="97" spans="1:10" ht="14.25" customHeight="1" x14ac:dyDescent="0.3">
      <c r="A97" s="56" t="s">
        <v>241</v>
      </c>
      <c r="B97">
        <f>AVERAGE(Iran!L2:L9)</f>
        <v>6.068010858072987</v>
      </c>
      <c r="C97">
        <f>AVERAGE(Iran!L10:L11)</f>
        <v>1.6192032057199968</v>
      </c>
      <c r="D97">
        <f>AVERAGE(Iran!L12:L21)</f>
        <v>1.4350350146888509</v>
      </c>
      <c r="E97">
        <f>AVERAGE(Iran!L22:L26)</f>
        <v>4.3841976239232201</v>
      </c>
    </row>
    <row r="100" spans="1:10" ht="15.75" customHeight="1" x14ac:dyDescent="0.3">
      <c r="A100" s="59" t="s">
        <v>253</v>
      </c>
      <c r="B100" s="60"/>
    </row>
    <row r="101" spans="1:10" ht="14.25" customHeight="1" x14ac:dyDescent="0.3">
      <c r="A101" s="42" t="s">
        <v>0</v>
      </c>
      <c r="B101" s="42" t="s">
        <v>234</v>
      </c>
      <c r="C101" s="42" t="s">
        <v>235</v>
      </c>
      <c r="D101" s="42" t="s">
        <v>236</v>
      </c>
      <c r="E101" s="42" t="s">
        <v>237</v>
      </c>
      <c r="F101" s="42" t="s">
        <v>238</v>
      </c>
      <c r="G101" s="42" t="s">
        <v>239</v>
      </c>
      <c r="H101" s="42" t="s">
        <v>240</v>
      </c>
      <c r="I101" s="42" t="s">
        <v>241</v>
      </c>
      <c r="J101" s="61"/>
    </row>
    <row r="102" spans="1:10" ht="14.25" customHeight="1" x14ac:dyDescent="0.3">
      <c r="A102" s="56">
        <v>2000</v>
      </c>
      <c r="B102" s="22">
        <f>USA!N2</f>
        <v>2.7817048841314618</v>
      </c>
      <c r="C102" s="23">
        <f>Germany!N2</f>
        <v>2.0895781722060258</v>
      </c>
      <c r="D102" s="22">
        <f>China!O2</f>
        <v>95.97435345717544</v>
      </c>
      <c r="E102" s="22">
        <f>Italy!N2</f>
        <v>-2.2336395116982897</v>
      </c>
      <c r="F102" s="22">
        <f>France!N2</f>
        <v>-1.6059782281375092</v>
      </c>
      <c r="G102" s="22">
        <f>Japan!O2</f>
        <v>-0.38620321958365306</v>
      </c>
      <c r="H102" s="22">
        <f>UK!N2</f>
        <v>-2.0493185970365828</v>
      </c>
      <c r="I102" s="22">
        <f>Iran!N2</f>
        <v>-8.515723311099876</v>
      </c>
    </row>
    <row r="103" spans="1:10" ht="14.25" customHeight="1" x14ac:dyDescent="0.3">
      <c r="A103" s="56">
        <v>2001</v>
      </c>
      <c r="B103" s="22">
        <f>USA!N3</f>
        <v>1.0956701588658495</v>
      </c>
      <c r="C103" s="23">
        <f>Germany!N3</f>
        <v>2.4222732627207035</v>
      </c>
      <c r="D103" s="22">
        <f>China!O3</f>
        <v>44.086052338724649</v>
      </c>
      <c r="E103" s="22">
        <f>Italy!N3</f>
        <v>-0.46586672582149302</v>
      </c>
      <c r="F103" s="22">
        <f>France!N3</f>
        <v>-1.0572372338794285</v>
      </c>
      <c r="G103" s="22">
        <f>Japan!O3</f>
        <v>-0.82505444754135071</v>
      </c>
      <c r="H103" s="22">
        <f>UK!N3</f>
        <v>-1.3185307875980532</v>
      </c>
      <c r="I103" s="22">
        <f>Iran!N3</f>
        <v>-9.9209222112977518</v>
      </c>
    </row>
    <row r="104" spans="1:10" ht="14.25" customHeight="1" x14ac:dyDescent="0.3">
      <c r="A104" s="56">
        <v>2002</v>
      </c>
      <c r="B104" s="22">
        <f>USA!N4</f>
        <v>0.24414229127373605</v>
      </c>
      <c r="C104" s="23">
        <f>Germany!N4</f>
        <v>0.81117040866350876</v>
      </c>
      <c r="D104" s="22">
        <f>China!O4</f>
        <v>19.176729480766394</v>
      </c>
      <c r="E104" s="22">
        <f>Italy!N4</f>
        <v>-0.26958847419470205</v>
      </c>
      <c r="F104" s="22">
        <f>France!N4</f>
        <v>-1.1807159908945817</v>
      </c>
      <c r="G104" s="22">
        <f>Japan!O4</f>
        <v>-1.4703612109670881</v>
      </c>
      <c r="H104" s="22">
        <f>UK!N4</f>
        <v>-1.2147189453594422</v>
      </c>
      <c r="I104" s="22">
        <f>Iran!N4</f>
        <v>-6.240573786749775</v>
      </c>
    </row>
    <row r="105" spans="1:10" ht="14.25" customHeight="1" x14ac:dyDescent="0.3">
      <c r="A105" s="56">
        <v>2003</v>
      </c>
      <c r="B105" s="22">
        <f>USA!N5</f>
        <v>0.53302238657558931</v>
      </c>
      <c r="C105" s="23">
        <f>Germany!N5</f>
        <v>-1.1201363385755316</v>
      </c>
      <c r="D105" s="22">
        <f>China!O5</f>
        <v>5.5991901698518651</v>
      </c>
      <c r="E105" s="22">
        <f>Italy!N5</f>
        <v>-0.17393616061426989</v>
      </c>
      <c r="F105" s="22">
        <f>France!N5</f>
        <v>-1.423468300117863</v>
      </c>
      <c r="G105" s="22">
        <f>Japan!O5</f>
        <v>-0.77166621479559805</v>
      </c>
      <c r="H105" s="22">
        <f>UK!N5</f>
        <v>0.38180151467698153</v>
      </c>
      <c r="I105" s="22">
        <f>Iran!N5</f>
        <v>-1.7696911417490993</v>
      </c>
    </row>
    <row r="106" spans="1:10" ht="14.25" customHeight="1" x14ac:dyDescent="0.3">
      <c r="A106" s="56">
        <v>2004</v>
      </c>
      <c r="B106" s="22">
        <f>USA!N6</f>
        <v>1.9153324006961452</v>
      </c>
      <c r="C106" s="23">
        <f>Germany!N6</f>
        <v>-1.7844448630730474</v>
      </c>
      <c r="D106" s="22">
        <f>China!O6</f>
        <v>-2.7245669492688385</v>
      </c>
      <c r="E106" s="22">
        <f>Italy!N6</f>
        <v>1.0276623393307247</v>
      </c>
      <c r="F106" s="22">
        <f>France!N6</f>
        <v>-0.16085625405847409</v>
      </c>
      <c r="G106" s="22">
        <f>Japan!O6</f>
        <v>0.61227971043182017</v>
      </c>
      <c r="H106" s="22">
        <f>UK!N6</f>
        <v>1.1465028501859991</v>
      </c>
      <c r="I106" s="22">
        <f>Iran!N6</f>
        <v>-1.0358789318204549</v>
      </c>
    </row>
    <row r="107" spans="1:10" ht="14.25" customHeight="1" x14ac:dyDescent="0.3">
      <c r="A107" s="56">
        <v>2005</v>
      </c>
      <c r="B107" s="22">
        <f>USA!N7</f>
        <v>3.0061472677403409</v>
      </c>
      <c r="C107" s="23">
        <f>Germany!N7</f>
        <v>-2.0712366186788249</v>
      </c>
      <c r="D107" s="22">
        <f>China!O7</f>
        <v>-6.8015129425092509</v>
      </c>
      <c r="E107" s="22">
        <f>Italy!N7</f>
        <v>2.1317145607752161</v>
      </c>
      <c r="F107" s="22">
        <f>France!N7</f>
        <v>0.60469914067751962</v>
      </c>
      <c r="G107" s="22">
        <f>Japan!O7</f>
        <v>1.7615956596118958</v>
      </c>
      <c r="H107" s="22">
        <f>UK!N7</f>
        <v>2.3995146301413182</v>
      </c>
      <c r="I107" s="22">
        <f>Iran!N7</f>
        <v>-0.30086784818810075</v>
      </c>
    </row>
    <row r="108" spans="1:10" ht="14.25" customHeight="1" x14ac:dyDescent="0.3">
      <c r="A108" s="56">
        <v>2006</v>
      </c>
      <c r="B108" s="22">
        <f>USA!N8</f>
        <v>3.4680990569138843</v>
      </c>
      <c r="C108" s="23">
        <f>Germany!N8</f>
        <v>0.5537008788617731</v>
      </c>
      <c r="D108" s="22">
        <f>China!O8</f>
        <v>-7.8920302790749117</v>
      </c>
      <c r="E108" s="22">
        <f>Italy!N8</f>
        <v>4.0164858371401531</v>
      </c>
      <c r="F108" s="22">
        <f>France!N8</f>
        <v>2.3379364944234915</v>
      </c>
      <c r="G108" s="22">
        <f>Japan!O8</f>
        <v>2.6025655721768395</v>
      </c>
      <c r="H108" s="22">
        <f>UK!N8</f>
        <v>3.0897716098455139</v>
      </c>
      <c r="I108" s="22">
        <f>Iran!N8</f>
        <v>1.9939000821141946</v>
      </c>
    </row>
    <row r="109" spans="1:10" ht="14.25" customHeight="1" x14ac:dyDescent="0.3">
      <c r="A109" s="56">
        <v>2007</v>
      </c>
      <c r="B109" s="22">
        <f>USA!N9</f>
        <v>3.1960436369801033</v>
      </c>
      <c r="C109" s="23">
        <f>Germany!N9</f>
        <v>2.2284723570899381</v>
      </c>
      <c r="D109" s="22">
        <f>China!O9</f>
        <v>-6.3395803170120262</v>
      </c>
      <c r="E109" s="22">
        <f>Italy!N9</f>
        <v>5.2979260336760827</v>
      </c>
      <c r="F109" s="22">
        <f>France!N9</f>
        <v>3.6526108194527436</v>
      </c>
      <c r="G109" s="22">
        <f>Japan!O9</f>
        <v>3.6602168869282288</v>
      </c>
      <c r="H109" s="22">
        <f>UK!N9</f>
        <v>4.5603414603057484</v>
      </c>
      <c r="I109" s="22">
        <f>Iran!N9</f>
        <v>7.8211345512225892</v>
      </c>
    </row>
    <row r="110" spans="1:10" ht="14.25" customHeight="1" x14ac:dyDescent="0.3">
      <c r="A110" s="56">
        <v>2008</v>
      </c>
      <c r="B110" s="22">
        <f>USA!N10</f>
        <v>1.0672678156519013</v>
      </c>
      <c r="C110" s="23">
        <f>Germany!N10</f>
        <v>1.5327795947739695</v>
      </c>
      <c r="D110" s="22">
        <f>China!O10</f>
        <v>-7.4018296395467837</v>
      </c>
      <c r="E110" s="22">
        <f>Italy!N10</f>
        <v>4.1306302866270936</v>
      </c>
      <c r="F110" s="22">
        <f>France!N10</f>
        <v>2.7259061328740537</v>
      </c>
      <c r="G110" s="22">
        <f>Japan!O10</f>
        <v>1.7678487937621046</v>
      </c>
      <c r="H110" s="22">
        <f>UK!N10</f>
        <v>3.0032029636268911</v>
      </c>
      <c r="I110" s="22">
        <f>Iran!N10</f>
        <v>5.5261789747360783</v>
      </c>
    </row>
    <row r="111" spans="1:10" ht="14.25" customHeight="1" x14ac:dyDescent="0.3">
      <c r="A111" s="56">
        <v>2009</v>
      </c>
      <c r="B111" s="22">
        <f>USA!N11</f>
        <v>-3.6373479458574414</v>
      </c>
      <c r="C111" s="23">
        <f>Germany!N11</f>
        <v>-5.2638688930276363</v>
      </c>
      <c r="D111" s="22">
        <f>China!O11</f>
        <v>-7.8258139770602506</v>
      </c>
      <c r="E111" s="22">
        <f>Italy!N11</f>
        <v>-1.4650842670427471</v>
      </c>
      <c r="F111" s="22">
        <f>France!N11</f>
        <v>-1.2142840010813374</v>
      </c>
      <c r="G111" s="22">
        <f>Japan!O11</f>
        <v>-4.9157663488778551</v>
      </c>
      <c r="H111" s="22">
        <f>UK!N11</f>
        <v>-3.1213588105454453</v>
      </c>
      <c r="I111" s="22">
        <f>Iran!N11</f>
        <v>4.7994136708199093</v>
      </c>
    </row>
    <row r="112" spans="1:10" ht="14.25" customHeight="1" x14ac:dyDescent="0.3">
      <c r="A112" s="56">
        <v>2010</v>
      </c>
      <c r="B112" s="22">
        <f>USA!N12</f>
        <v>-3.1017753479596095</v>
      </c>
      <c r="C112" s="23">
        <f>Germany!N12</f>
        <v>-2.7055895210575964</v>
      </c>
      <c r="D112" s="22">
        <f>China!O12</f>
        <v>-6.4609861396039481</v>
      </c>
      <c r="E112" s="22">
        <f>Italy!N12</f>
        <v>-5.6361010546622056E-2</v>
      </c>
      <c r="F112" s="22">
        <f>France!N12</f>
        <v>-0.53289660723328658</v>
      </c>
      <c r="G112" s="22">
        <f>Japan!O12</f>
        <v>-1.6456758484188088</v>
      </c>
      <c r="H112" s="22">
        <f>UK!N12</f>
        <v>-2.3184646061151235</v>
      </c>
      <c r="I112" s="22">
        <f>Iran!N12</f>
        <v>8.5072660828515119</v>
      </c>
    </row>
    <row r="113" spans="1:9" ht="14.25" customHeight="1" x14ac:dyDescent="0.3">
      <c r="A113" s="56">
        <v>2011</v>
      </c>
      <c r="B113" s="22">
        <f>USA!N13</f>
        <v>-3.594271190828108</v>
      </c>
      <c r="C113" s="23">
        <f>Germany!N13</f>
        <v>-0.21316000988286132</v>
      </c>
      <c r="D113" s="22">
        <f>China!O13</f>
        <v>-5.3767451823774923</v>
      </c>
      <c r="E113" s="22">
        <f>Italy!N13</f>
        <v>0.75006082136535412</v>
      </c>
      <c r="F113" s="22">
        <f>France!N13</f>
        <v>0.80128987756857217</v>
      </c>
      <c r="G113" s="22">
        <f>Japan!O13</f>
        <v>-2.4768962593484782</v>
      </c>
      <c r="H113" s="22">
        <f>UK!N13</f>
        <v>-2.8470360731292121</v>
      </c>
      <c r="I113" s="22">
        <f>Iran!N13</f>
        <v>9.4545745187003352</v>
      </c>
    </row>
    <row r="114" spans="1:9" ht="14.25" customHeight="1" x14ac:dyDescent="0.3">
      <c r="A114" s="56">
        <v>2012</v>
      </c>
      <c r="B114" s="22">
        <f>USA!N14</f>
        <v>-3.3596215248520513</v>
      </c>
      <c r="C114" s="23">
        <f>Germany!N14</f>
        <v>-0.73257973155943179</v>
      </c>
      <c r="D114" s="22">
        <f>China!O14</f>
        <v>-5.1281181984580222</v>
      </c>
      <c r="E114" s="22">
        <f>Italy!N14</f>
        <v>-2.4972310454052553</v>
      </c>
      <c r="F114" s="22">
        <f>France!N14</f>
        <v>-8.1751823179616795E-2</v>
      </c>
      <c r="G114" s="22">
        <f>Japan!O14</f>
        <v>-1.5124105857133621</v>
      </c>
      <c r="H114" s="22">
        <f>UK!N14</f>
        <v>-2.7057234473206648</v>
      </c>
      <c r="I114" s="22">
        <f>Iran!N14</f>
        <v>2.5108203726522844</v>
      </c>
    </row>
    <row r="115" spans="1:9" ht="14.25" customHeight="1" x14ac:dyDescent="0.3">
      <c r="A115" s="56">
        <v>2013</v>
      </c>
      <c r="B115" s="22">
        <f>USA!N15</f>
        <v>-3.2531123985905777</v>
      </c>
      <c r="C115" s="23">
        <f>Germany!N15</f>
        <v>-1.3698420399438263</v>
      </c>
      <c r="D115" s="22">
        <f>China!O15</f>
        <v>-4.5057840386582919</v>
      </c>
      <c r="E115" s="22">
        <f>Italy!N15</f>
        <v>-4.3258666467459399</v>
      </c>
      <c r="F115" s="22">
        <f>France!N15</f>
        <v>-0.25317217381480162</v>
      </c>
      <c r="G115" s="22">
        <f>Japan!O15</f>
        <v>-0.17866341136002237</v>
      </c>
      <c r="H115" s="22">
        <f>UK!N15</f>
        <v>-2.3671455065936642</v>
      </c>
      <c r="I115" s="22">
        <f>Iran!N15</f>
        <v>-1.7013550656903713</v>
      </c>
    </row>
    <row r="116" spans="1:9" ht="14.25" customHeight="1" x14ac:dyDescent="0.3">
      <c r="A116" s="56">
        <v>2014</v>
      </c>
      <c r="B116" s="22">
        <f>USA!N16</f>
        <v>-2.718702682535926</v>
      </c>
      <c r="C116" s="23">
        <f>Germany!N16</f>
        <v>-0.36909715359097517</v>
      </c>
      <c r="D116" s="22">
        <f>China!O16</f>
        <v>-3.7076820966145005</v>
      </c>
      <c r="E116" s="22">
        <f>Italy!N16</f>
        <v>-4.3013373904965544</v>
      </c>
      <c r="F116" s="22">
        <f>France!N16</f>
        <v>-0.3432488739565564</v>
      </c>
      <c r="G116" s="22">
        <f>Japan!O16</f>
        <v>-1.3131209615481929E-2</v>
      </c>
      <c r="H116" s="22">
        <f>UK!N16</f>
        <v>-0.6171273340946295</v>
      </c>
      <c r="I116" s="22">
        <f>Iran!N16</f>
        <v>0.55697059808570182</v>
      </c>
    </row>
    <row r="117" spans="1:9" ht="14.25" customHeight="1" x14ac:dyDescent="0.3">
      <c r="A117" s="56">
        <v>2015</v>
      </c>
      <c r="B117" s="22">
        <f>USA!N17</f>
        <v>-1.7426335168622846</v>
      </c>
      <c r="C117" s="23">
        <f>Germany!N17</f>
        <v>-4.0909601582039511E-2</v>
      </c>
      <c r="D117" s="22">
        <f>China!O17</f>
        <v>-2.981670842955034</v>
      </c>
      <c r="E117" s="22">
        <f>Italy!N17</f>
        <v>-3.6355752356111362</v>
      </c>
      <c r="F117" s="22">
        <f>France!N17</f>
        <v>-0.42176713253981485</v>
      </c>
      <c r="G117" s="22">
        <f>Japan!O17</f>
        <v>1.1819653433664625</v>
      </c>
      <c r="H117" s="22">
        <f>UK!N17</f>
        <v>0.18183144556994368</v>
      </c>
      <c r="I117" s="22">
        <f>Iran!N17</f>
        <v>-3.3498656701323855</v>
      </c>
    </row>
    <row r="118" spans="1:9" ht="14.25" customHeight="1" x14ac:dyDescent="0.3">
      <c r="A118" s="56">
        <v>2016</v>
      </c>
      <c r="B118" s="22">
        <f>USA!N18</f>
        <v>-1.8074206219250402</v>
      </c>
      <c r="C118" s="23">
        <f>Germany!N18</f>
        <v>0.97990591765989965</v>
      </c>
      <c r="D118" s="22">
        <f>China!O18</f>
        <v>-2.0992949367581475</v>
      </c>
      <c r="E118" s="22">
        <f>Italy!N18</f>
        <v>-2.3786759612496251</v>
      </c>
      <c r="F118" s="22">
        <f>France!N18</f>
        <v>-0.7451771291688023</v>
      </c>
      <c r="G118" s="22">
        <f>Japan!O18</f>
        <v>1.2088584441008305</v>
      </c>
      <c r="H118" s="22">
        <f>UK!N18</f>
        <v>1.0698857143930627</v>
      </c>
      <c r="I118" s="22">
        <f>Iran!N18</f>
        <v>2.6089363385866644</v>
      </c>
    </row>
    <row r="119" spans="1:9" ht="14.25" customHeight="1" x14ac:dyDescent="0.3">
      <c r="A119" s="56">
        <v>2017</v>
      </c>
      <c r="B119" s="22">
        <f>USA!N19</f>
        <v>-1.2281783377768711</v>
      </c>
      <c r="C119" s="23">
        <f>Germany!N19</f>
        <v>2.9997153706273405</v>
      </c>
      <c r="D119" s="22">
        <f>China!O19</f>
        <v>-0.82887090511567452</v>
      </c>
      <c r="E119" s="22">
        <f>Italy!N19</f>
        <v>-0.77628389832314082</v>
      </c>
      <c r="F119" s="22">
        <f>France!N19</f>
        <v>0.44512423000652768</v>
      </c>
      <c r="G119" s="22">
        <f>Japan!O19</f>
        <v>2.1978812118535167</v>
      </c>
      <c r="H119" s="22">
        <f>UK!N19</f>
        <v>2.7941480158273508</v>
      </c>
      <c r="I119" s="22">
        <f>Iran!N19</f>
        <v>3.2016970090780354</v>
      </c>
    </row>
    <row r="120" spans="1:9" ht="14.25" customHeight="1" x14ac:dyDescent="0.3">
      <c r="A120" s="56">
        <v>2018</v>
      </c>
      <c r="B120" s="22">
        <f>USA!N20</f>
        <v>-0.11398712383112888</v>
      </c>
      <c r="C120" s="23">
        <f>Germany!N20</f>
        <v>3.1286013425704327</v>
      </c>
      <c r="D120" s="22">
        <f>China!O20</f>
        <v>0.65417099745677376</v>
      </c>
      <c r="E120" s="22">
        <f>Italy!N20</f>
        <v>-0.14954519774267219</v>
      </c>
      <c r="F120" s="22">
        <f>France!N20</f>
        <v>0.98312313076730518</v>
      </c>
      <c r="G120" s="22">
        <f>Japan!O20</f>
        <v>2.4188676278473151</v>
      </c>
      <c r="H120" s="22">
        <f>UK!N20</f>
        <v>3.0745576076181997</v>
      </c>
      <c r="I120" s="22">
        <f>Iran!N20</f>
        <v>-2.9728025325406771</v>
      </c>
    </row>
    <row r="121" spans="1:9" ht="14.25" customHeight="1" x14ac:dyDescent="0.3">
      <c r="A121" s="56">
        <v>2019</v>
      </c>
      <c r="B121" s="22">
        <f>USA!N21</f>
        <v>0.66946694133942408</v>
      </c>
      <c r="C121" s="23">
        <f>Germany!N21</f>
        <v>3.1088815601153383</v>
      </c>
      <c r="D121" s="22">
        <f>China!O21</f>
        <v>1.7407941779739189</v>
      </c>
      <c r="E121" s="22">
        <f>Italy!N21</f>
        <v>0.21861688887170797</v>
      </c>
      <c r="F121" s="22">
        <f>France!N21</f>
        <v>2.0517407336050191</v>
      </c>
      <c r="G121" s="22">
        <f>Japan!O21</f>
        <v>1.4584139402710032</v>
      </c>
      <c r="H121" s="22">
        <f>UK!N21</f>
        <v>3.071795962347446</v>
      </c>
      <c r="I121" s="22">
        <f>Iran!N21</f>
        <v>-7.4138972711153235</v>
      </c>
    </row>
    <row r="122" spans="1:9" ht="14.25" customHeight="1" x14ac:dyDescent="0.3">
      <c r="A122" s="56">
        <v>2020</v>
      </c>
      <c r="B122" s="22">
        <f>USA!N22</f>
        <v>-3.1251895822936278</v>
      </c>
      <c r="C122" s="23">
        <f>Germany!N22</f>
        <v>-2.5247048368600384</v>
      </c>
      <c r="D122" s="22">
        <f>China!O22</f>
        <v>-0.62155601397480198</v>
      </c>
      <c r="E122" s="22">
        <f>Italy!N22</f>
        <v>-8.7981041661965556</v>
      </c>
      <c r="F122" s="22">
        <f>France!N22</f>
        <v>-6.6654783152771397</v>
      </c>
      <c r="G122" s="22">
        <f>Japan!O22</f>
        <v>-3.5405015300066625</v>
      </c>
      <c r="H122" s="22">
        <f>UK!N22</f>
        <v>-8.4233768235023039</v>
      </c>
      <c r="I122" s="22">
        <f>Iran!N22</f>
        <v>-5.4471055060687483</v>
      </c>
    </row>
    <row r="123" spans="1:9" ht="14.25" customHeight="1" x14ac:dyDescent="0.3">
      <c r="A123" s="56">
        <v>2021</v>
      </c>
      <c r="B123" s="22">
        <f>USA!N23</f>
        <v>1.087132620566889</v>
      </c>
      <c r="C123" s="23">
        <f>Germany!N23</f>
        <v>0.16703871492268035</v>
      </c>
      <c r="D123" s="22">
        <f>China!O23</f>
        <v>3.2474729238411695</v>
      </c>
      <c r="E123" s="22">
        <f>Italy!N23</f>
        <v>-0.818576840512935</v>
      </c>
      <c r="F123" s="22">
        <f>France!N23</f>
        <v>-1.3294250668687353</v>
      </c>
      <c r="G123" s="22">
        <f>Japan!O23</f>
        <v>-0.63652918382184476</v>
      </c>
      <c r="H123" s="22">
        <f>UK!N23</f>
        <v>-1.8090588495161164</v>
      </c>
      <c r="I123" s="22">
        <f>Iran!N23</f>
        <v>-3.6785596856009399</v>
      </c>
    </row>
    <row r="124" spans="1:9" ht="14.25" customHeight="1" x14ac:dyDescent="0.3">
      <c r="A124" s="56">
        <v>2022</v>
      </c>
      <c r="B124" s="22">
        <f>USA!N24</f>
        <v>1.911762693426087</v>
      </c>
      <c r="C124" s="23">
        <f>Germany!N24</f>
        <v>1.0114900007693384</v>
      </c>
      <c r="D124" s="22">
        <f>China!O24</f>
        <v>2.0378611090272258</v>
      </c>
      <c r="E124" s="22">
        <f>Italy!N24</f>
        <v>4.0636672317316682</v>
      </c>
      <c r="F124" s="22">
        <f>France!N24</f>
        <v>0.42727404707895622</v>
      </c>
      <c r="G124" s="22">
        <f>Japan!O24</f>
        <v>2.4185870131144784E-2</v>
      </c>
      <c r="H124" s="22">
        <f>UK!N24</f>
        <v>2.009951085343864</v>
      </c>
      <c r="I124" s="22">
        <f>Iran!N24</f>
        <v>-1.6214644006767747</v>
      </c>
    </row>
    <row r="125" spans="1:9" ht="14.25" customHeight="1" x14ac:dyDescent="0.3">
      <c r="A125" s="56">
        <v>2023</v>
      </c>
      <c r="B125" s="22">
        <f>USA!N25</f>
        <v>3.1827972257568895</v>
      </c>
      <c r="C125" s="23">
        <f>Germany!N25</f>
        <v>-0.88704661296853826</v>
      </c>
      <c r="D125" s="22">
        <f>China!O25</f>
        <v>3.2693247267273096</v>
      </c>
      <c r="E125" s="22">
        <f>Italy!N25</f>
        <v>5.0726268314133653</v>
      </c>
      <c r="F125" s="22">
        <f>France!N25</f>
        <v>1.2499043999023058</v>
      </c>
      <c r="G125" s="22">
        <f>Japan!O25</f>
        <v>0.11965153067291058</v>
      </c>
      <c r="H125" s="22">
        <f>UK!N25</f>
        <v>1.0755611940802761</v>
      </c>
      <c r="I125" s="22">
        <f>Iran!N25</f>
        <v>1.4685514425801469</v>
      </c>
    </row>
    <row r="126" spans="1:9" ht="14.25" customHeight="1" x14ac:dyDescent="0.3">
      <c r="A126" s="56">
        <v>2024</v>
      </c>
      <c r="B126" s="22">
        <f>USA!N26</f>
        <v>4.354437743149921</v>
      </c>
      <c r="C126" s="23">
        <f>Germany!N26</f>
        <v>-1.9011480206223521</v>
      </c>
      <c r="D126" s="22">
        <f>China!O26</f>
        <v>4.2840558916661502</v>
      </c>
      <c r="E126" s="22">
        <f>Italy!N26</f>
        <v>5.6365722394010787</v>
      </c>
      <c r="F126" s="22">
        <f>France!N26</f>
        <v>1.6954490602005472</v>
      </c>
      <c r="G126" s="22">
        <f>Japan!O26</f>
        <v>-0.64970310371943674</v>
      </c>
      <c r="H126" s="22">
        <f>UK!N26</f>
        <v>0.93371829520640104</v>
      </c>
      <c r="I126" s="22">
        <f>Iran!N26</f>
        <v>3.041716719689449</v>
      </c>
    </row>
    <row r="129" spans="1:9" ht="15.75" customHeight="1" x14ac:dyDescent="0.3">
      <c r="A129" s="59" t="s">
        <v>254</v>
      </c>
    </row>
    <row r="130" spans="1:9" ht="14.25" customHeight="1" x14ac:dyDescent="0.3">
      <c r="A130" s="42" t="s">
        <v>0</v>
      </c>
      <c r="B130" s="42" t="s">
        <v>234</v>
      </c>
      <c r="C130" s="42" t="s">
        <v>235</v>
      </c>
      <c r="D130" s="42" t="s">
        <v>236</v>
      </c>
      <c r="E130" s="42" t="s">
        <v>237</v>
      </c>
      <c r="F130" s="42" t="s">
        <v>238</v>
      </c>
      <c r="G130" s="42" t="s">
        <v>239</v>
      </c>
      <c r="H130" s="42" t="s">
        <v>240</v>
      </c>
      <c r="I130" s="42" t="s">
        <v>241</v>
      </c>
    </row>
    <row r="131" spans="1:9" ht="14.25" customHeight="1" x14ac:dyDescent="0.3">
      <c r="A131" s="56">
        <v>2000</v>
      </c>
      <c r="B131" s="22">
        <f>USA!O2</f>
        <v>0</v>
      </c>
      <c r="C131" s="23">
        <f>Germany!O2</f>
        <v>0</v>
      </c>
      <c r="D131" s="22">
        <f>China!P2</f>
        <v>0</v>
      </c>
      <c r="E131" s="22">
        <f>Italy!O2</f>
        <v>0</v>
      </c>
      <c r="F131" s="22">
        <f>France!O2</f>
        <v>0</v>
      </c>
      <c r="G131" s="22">
        <f>Japan!P2</f>
        <v>0</v>
      </c>
      <c r="H131" s="22">
        <f>UK!O2</f>
        <v>0</v>
      </c>
      <c r="I131" s="22">
        <f>Iran!O2</f>
        <v>0</v>
      </c>
    </row>
    <row r="132" spans="1:9" ht="14.25" customHeight="1" x14ac:dyDescent="0.3">
      <c r="A132" s="56">
        <v>2001</v>
      </c>
      <c r="B132" s="22">
        <f>USA!O3</f>
        <v>2.8166233042185436</v>
      </c>
      <c r="C132" s="23">
        <f>Germany!O3</f>
        <v>1.9838525178899704</v>
      </c>
      <c r="D132" s="22">
        <f>China!P3</f>
        <v>0.71913243681150751</v>
      </c>
      <c r="E132" s="22">
        <f>Italy!O3</f>
        <v>2.785165427135547</v>
      </c>
      <c r="F132" s="22">
        <f>France!O3</f>
        <v>1.6347807954960558</v>
      </c>
      <c r="G132" s="22">
        <f>Japan!P3</f>
        <v>-0.74005550416274324</v>
      </c>
      <c r="H132" s="22">
        <f>UK!O3</f>
        <v>1.5323496027241785</v>
      </c>
      <c r="I132" s="22">
        <f>Iran!O3</f>
        <v>11.541501976284597</v>
      </c>
    </row>
    <row r="133" spans="1:9" ht="14.25" customHeight="1" x14ac:dyDescent="0.3">
      <c r="A133" s="56">
        <v>2002</v>
      </c>
      <c r="B133" s="22">
        <f>USA!O4</f>
        <v>1.5956665649958703</v>
      </c>
      <c r="C133" s="23">
        <f>Germany!O4</f>
        <v>1.4208080090776163</v>
      </c>
      <c r="D133" s="22">
        <f>China!P4</f>
        <v>-0.73197550008355039</v>
      </c>
      <c r="E133" s="22">
        <f>Italy!O4</f>
        <v>2.4653231917116765</v>
      </c>
      <c r="F133" s="22">
        <f>France!O4</f>
        <v>1.9234122872706019</v>
      </c>
      <c r="G133" s="22">
        <f>Japan!P4</f>
        <v>-0.92349402694231064</v>
      </c>
      <c r="H133" s="22">
        <f>UK!O4</f>
        <v>1.52040245947452</v>
      </c>
      <c r="I133" s="22">
        <f>Iran!O4</f>
        <v>13.217576187101338</v>
      </c>
    </row>
    <row r="134" spans="1:9" ht="14.25" customHeight="1" x14ac:dyDescent="0.3">
      <c r="A134" s="56">
        <v>2003</v>
      </c>
      <c r="B134" s="22">
        <f>USA!O5</f>
        <v>2.297808936603162</v>
      </c>
      <c r="C134" s="23">
        <f>Germany!O5</f>
        <v>1.0342247011877259</v>
      </c>
      <c r="D134" s="22">
        <f>China!P5</f>
        <v>1.1276019609049763</v>
      </c>
      <c r="E134" s="22">
        <f>Italy!O5</f>
        <v>2.6725555277285173</v>
      </c>
      <c r="F134" s="22">
        <f>France!O5</f>
        <v>2.0984721914692299</v>
      </c>
      <c r="G134" s="22">
        <f>Japan!P5</f>
        <v>-0.25654181631602785</v>
      </c>
      <c r="H134" s="22">
        <f>UK!O5</f>
        <v>1.3765003854201536</v>
      </c>
      <c r="I134" s="22">
        <f>Iran!O5</f>
        <v>13.896713615023474</v>
      </c>
    </row>
    <row r="135" spans="1:9" ht="14.25" customHeight="1" x14ac:dyDescent="0.3">
      <c r="A135" s="56">
        <v>2004</v>
      </c>
      <c r="B135" s="22">
        <f>USA!O6</f>
        <v>2.6673913043478192</v>
      </c>
      <c r="C135" s="23">
        <f>Germany!O6</f>
        <v>1.6657331325998546</v>
      </c>
      <c r="D135" s="22">
        <f>China!P6</f>
        <v>3.8246376240093651</v>
      </c>
      <c r="E135" s="22">
        <f>Italy!O6</f>
        <v>2.206736614236454</v>
      </c>
      <c r="F135" s="22">
        <f>France!O6</f>
        <v>2.1420896464023653</v>
      </c>
      <c r="G135" s="22">
        <f>Japan!P6</f>
        <v>-8.5733882031078928E-3</v>
      </c>
      <c r="H135" s="22">
        <f>UK!O6</f>
        <v>1.3903975668043098</v>
      </c>
      <c r="I135" s="22">
        <f>Iran!O6</f>
        <v>14.619400934322629</v>
      </c>
    </row>
    <row r="136" spans="1:9" ht="14.25" customHeight="1" x14ac:dyDescent="0.3">
      <c r="A136" s="56">
        <v>2005</v>
      </c>
      <c r="B136" s="22">
        <f>USA!O7</f>
        <v>3.3661888326592884</v>
      </c>
      <c r="C136" s="23">
        <f>Germany!O7</f>
        <v>1.5469109004571757</v>
      </c>
      <c r="D136" s="22">
        <f>China!P7</f>
        <v>1.7764161684314124</v>
      </c>
      <c r="E136" s="22">
        <f>Italy!O7</f>
        <v>1.9852929852798282</v>
      </c>
      <c r="F136" s="22">
        <f>France!O7</f>
        <v>1.7458693638048279</v>
      </c>
      <c r="G136" s="22">
        <f>Japan!P7</f>
        <v>-0.28294606876438583</v>
      </c>
      <c r="H136" s="22">
        <f>UK!O7</f>
        <v>2.0891364902506973</v>
      </c>
      <c r="I136" s="22">
        <f>Iran!O7</f>
        <v>12.10740829537281</v>
      </c>
    </row>
    <row r="137" spans="1:9" ht="14.25" customHeight="1" x14ac:dyDescent="0.3">
      <c r="A137" s="56">
        <v>2006</v>
      </c>
      <c r="B137" s="22">
        <f>USA!O8</f>
        <v>3.2217425371414512</v>
      </c>
      <c r="C137" s="23">
        <f>Germany!O8</f>
        <v>1.5774330173465598</v>
      </c>
      <c r="D137" s="22">
        <f>China!P8</f>
        <v>1.6494331013997856</v>
      </c>
      <c r="E137" s="22">
        <f>Italy!O8</f>
        <v>2.0908439101275911</v>
      </c>
      <c r="F137" s="22">
        <f>France!O8</f>
        <v>1.6751244960873126</v>
      </c>
      <c r="G137" s="22">
        <f>Japan!P8</f>
        <v>0.24935511607908617</v>
      </c>
      <c r="H137" s="22">
        <f>UK!O8</f>
        <v>2.4556616643929106</v>
      </c>
      <c r="I137" s="22">
        <f>Iran!O8</f>
        <v>13.686911890504696</v>
      </c>
    </row>
    <row r="138" spans="1:9" ht="14.25" customHeight="1" x14ac:dyDescent="0.3">
      <c r="A138" s="56">
        <v>2007</v>
      </c>
      <c r="B138" s="22">
        <f>USA!O9</f>
        <v>2.8706377320671974</v>
      </c>
      <c r="C138" s="23">
        <f>Germany!O9</f>
        <v>2.2983353436697902</v>
      </c>
      <c r="D138" s="22">
        <f>China!P9</f>
        <v>4.8167653134375419</v>
      </c>
      <c r="E138" s="22">
        <f>Italy!O9</f>
        <v>1.8297411220239639</v>
      </c>
      <c r="F138" s="22">
        <f>France!O9</f>
        <v>1.4879980595386118</v>
      </c>
      <c r="G138" s="22">
        <f>Japan!P9</f>
        <v>6.0039454498657774E-2</v>
      </c>
      <c r="H138" s="22">
        <f>UK!O9</f>
        <v>2.3865615077331879</v>
      </c>
      <c r="I138" s="22">
        <f>Iran!O9</f>
        <v>17.231000752445453</v>
      </c>
    </row>
    <row r="139" spans="1:9" ht="14.25" customHeight="1" x14ac:dyDescent="0.3">
      <c r="A139" s="56">
        <v>2008</v>
      </c>
      <c r="B139" s="22">
        <f>USA!O10</f>
        <v>3.8149162744038878</v>
      </c>
      <c r="C139" s="23">
        <f>Germany!O10</f>
        <v>2.6283882274896251</v>
      </c>
      <c r="D139" s="22">
        <f>China!P10</f>
        <v>5.9252552887091978</v>
      </c>
      <c r="E139" s="22">
        <f>Italy!O10</f>
        <v>3.3478325840102872</v>
      </c>
      <c r="F139" s="22">
        <f>France!O10</f>
        <v>2.8128619491477553</v>
      </c>
      <c r="G139" s="22">
        <f>Japan!P10</f>
        <v>1.3800788616491921</v>
      </c>
      <c r="H139" s="22">
        <f>UK!O10</f>
        <v>3.5214085634254642</v>
      </c>
      <c r="I139" s="22">
        <f>Iran!O10</f>
        <v>25.545571245186128</v>
      </c>
    </row>
    <row r="140" spans="1:9" ht="14.25" customHeight="1" x14ac:dyDescent="0.3">
      <c r="A140" s="56">
        <v>2009</v>
      </c>
      <c r="B140" s="22">
        <f>USA!O11</f>
        <v>-0.32008696702499978</v>
      </c>
      <c r="C140" s="23">
        <f>Germany!O11</f>
        <v>0.31273714008490172</v>
      </c>
      <c r="D140" s="22">
        <f>China!P11</f>
        <v>-0.72817133417304913</v>
      </c>
      <c r="E140" s="22">
        <f>Italy!O11</f>
        <v>0.77476813138737477</v>
      </c>
      <c r="F140" s="22">
        <f>France!O11</f>
        <v>8.7620478157508896E-2</v>
      </c>
      <c r="G140" s="22">
        <f>Japan!P11</f>
        <v>-1.3528367295171746</v>
      </c>
      <c r="H140" s="22">
        <f>UK!O11</f>
        <v>1.9617317356009962</v>
      </c>
      <c r="I140" s="22">
        <f>Iran!O11</f>
        <v>9.4708588957055166</v>
      </c>
    </row>
    <row r="141" spans="1:9" ht="14.25" customHeight="1" x14ac:dyDescent="0.3">
      <c r="A141" s="56">
        <v>2010</v>
      </c>
      <c r="B141" s="22">
        <f>USA!O12</f>
        <v>1.6363339780486079</v>
      </c>
      <c r="C141" s="23">
        <f>Germany!O12</f>
        <v>1.1038067053753207</v>
      </c>
      <c r="D141" s="22">
        <f>China!P12</f>
        <v>3.1753279807556982</v>
      </c>
      <c r="E141" s="22">
        <f>Italy!O12</f>
        <v>1.5255160211824812</v>
      </c>
      <c r="F141" s="22">
        <f>France!O12</f>
        <v>1.5311227042093183</v>
      </c>
      <c r="G141" s="22">
        <f>Japan!P12</f>
        <v>-0.72824320751777527</v>
      </c>
      <c r="H141" s="22">
        <f>UK!O12</f>
        <v>2.4926547246706945</v>
      </c>
      <c r="I141" s="22">
        <f>Iran!O12</f>
        <v>13.928779918272033</v>
      </c>
    </row>
    <row r="142" spans="1:9" ht="14.25" customHeight="1" x14ac:dyDescent="0.3">
      <c r="A142" s="56">
        <v>2011</v>
      </c>
      <c r="B142" s="22">
        <f>USA!O13</f>
        <v>3.1397311029182529</v>
      </c>
      <c r="C142" s="23">
        <f>Germany!O13</f>
        <v>2.0751743771216247</v>
      </c>
      <c r="D142" s="22">
        <f>China!P13</f>
        <v>5.5538970590433125</v>
      </c>
      <c r="E142" s="22">
        <f>Italy!O13</f>
        <v>2.7806327287932624</v>
      </c>
      <c r="F142" s="22">
        <f>France!O13</f>
        <v>2.1115979517499865</v>
      </c>
      <c r="G142" s="22">
        <f>Japan!P13</f>
        <v>-0.27245561610124008</v>
      </c>
      <c r="H142" s="22">
        <f>UK!O13</f>
        <v>3.856112446828182</v>
      </c>
      <c r="I142" s="22">
        <f>Iran!O13</f>
        <v>26.357860217257645</v>
      </c>
    </row>
    <row r="143" spans="1:9" ht="14.25" customHeight="1" x14ac:dyDescent="0.3">
      <c r="A143" s="56">
        <v>2012</v>
      </c>
      <c r="B143" s="22">
        <f>USA!O14</f>
        <v>2.0731539237872565</v>
      </c>
      <c r="C143" s="23">
        <f>Germany!O14</f>
        <v>2.0084896115377737</v>
      </c>
      <c r="D143" s="22">
        <f>China!P14</f>
        <v>2.6195261648854338</v>
      </c>
      <c r="E143" s="22">
        <f>Italy!O14</f>
        <v>3.0413633322676414</v>
      </c>
      <c r="F143" s="22">
        <f>France!O14</f>
        <v>1.9541953161350365</v>
      </c>
      <c r="G143" s="22">
        <f>Japan!P14</f>
        <v>-4.4064510443258167E-2</v>
      </c>
      <c r="H143" s="22">
        <f>UK!O14</f>
        <v>2.5732347965453521</v>
      </c>
      <c r="I143" s="22">
        <f>Iran!O14</f>
        <v>28.556366585563669</v>
      </c>
    </row>
    <row r="144" spans="1:9" ht="14.25" customHeight="1" x14ac:dyDescent="0.3">
      <c r="A144" s="56">
        <v>2013</v>
      </c>
      <c r="B144" s="22">
        <f>USA!O15</f>
        <v>1.4661172719590851</v>
      </c>
      <c r="C144" s="23">
        <f>Germany!O15</f>
        <v>1.5047233032951617</v>
      </c>
      <c r="D144" s="22">
        <f>China!P15</f>
        <v>2.6210490270108648</v>
      </c>
      <c r="E144" s="22">
        <f>Italy!O15</f>
        <v>1.2199934227430793</v>
      </c>
      <c r="F144" s="22">
        <f>France!O15</f>
        <v>0.86371549786177437</v>
      </c>
      <c r="G144" s="22">
        <f>Japan!P15</f>
        <v>0.33503791218474566</v>
      </c>
      <c r="H144" s="22">
        <f>UK!O15</f>
        <v>2.2916666666666696</v>
      </c>
      <c r="I144" s="22">
        <f>Iran!O15</f>
        <v>32.07368620276322</v>
      </c>
    </row>
    <row r="145" spans="1:9" ht="14.25" customHeight="1" x14ac:dyDescent="0.3">
      <c r="A145" s="56">
        <v>2014</v>
      </c>
      <c r="B145" s="22">
        <f>USA!O16</f>
        <v>1.6153542360658013</v>
      </c>
      <c r="C145" s="23">
        <f>Germany!O16</f>
        <v>0.90679725496939112</v>
      </c>
      <c r="D145" s="22">
        <f>China!P16</f>
        <v>1.9216434159389519</v>
      </c>
      <c r="E145" s="22">
        <f>Italy!O16</f>
        <v>0.24104742982676894</v>
      </c>
      <c r="F145" s="22">
        <f>France!O16</f>
        <v>0.50775882293795871</v>
      </c>
      <c r="G145" s="22">
        <f>Japan!P16</f>
        <v>2.7592267135325215</v>
      </c>
      <c r="H145" s="22">
        <f>UK!O16</f>
        <v>1.4511201629327872</v>
      </c>
      <c r="I145" s="22">
        <f>Iran!O16</f>
        <v>14.826844996417496</v>
      </c>
    </row>
    <row r="146" spans="1:9" ht="14.25" customHeight="1" x14ac:dyDescent="0.3">
      <c r="A146" s="56">
        <v>2015</v>
      </c>
      <c r="B146" s="22">
        <f>USA!O17</f>
        <v>0.12124284477114088</v>
      </c>
      <c r="C146" s="23">
        <f>Germany!O17</f>
        <v>0.51441353751660812</v>
      </c>
      <c r="D146" s="22">
        <f>China!P17</f>
        <v>1.437024513947625</v>
      </c>
      <c r="E146" s="22">
        <f>Italy!O17</f>
        <v>3.8790399657907502E-2</v>
      </c>
      <c r="F146" s="22">
        <f>France!O17</f>
        <v>3.7514380512524141E-2</v>
      </c>
      <c r="G146" s="22">
        <f>Japan!P17</f>
        <v>0.79527963057983286</v>
      </c>
      <c r="H146" s="22">
        <f>UK!O17</f>
        <v>0.36804684232532314</v>
      </c>
      <c r="I146" s="22">
        <f>Iran!O17</f>
        <v>11.285827197470766</v>
      </c>
    </row>
    <row r="147" spans="1:9" ht="14.25" customHeight="1" x14ac:dyDescent="0.3">
      <c r="A147" s="56">
        <v>2016</v>
      </c>
      <c r="B147" s="22">
        <f>USA!O18</f>
        <v>1.2670779149542981</v>
      </c>
      <c r="C147" s="23">
        <f>Germany!O18</f>
        <v>0.49176919945031838</v>
      </c>
      <c r="D147" s="22">
        <f>China!P18</f>
        <v>2</v>
      </c>
      <c r="E147" s="22">
        <f>Italy!O18</f>
        <v>-9.4016656915623803E-2</v>
      </c>
      <c r="F147" s="22">
        <f>France!O18</f>
        <v>0.18333486112391767</v>
      </c>
      <c r="G147" s="22">
        <f>Japan!P18</f>
        <v>-0.12725884448975933</v>
      </c>
      <c r="H147" s="22">
        <f>UK!O18</f>
        <v>1.0084173681140736</v>
      </c>
      <c r="I147" s="22">
        <f>Iran!O18</f>
        <v>6.7508971291866064</v>
      </c>
    </row>
    <row r="148" spans="1:9" ht="14.25" customHeight="1" x14ac:dyDescent="0.3">
      <c r="A148" s="56">
        <v>2017</v>
      </c>
      <c r="B148" s="22">
        <f>USA!O19</f>
        <v>2.1316222578696338</v>
      </c>
      <c r="C148" s="23">
        <f>Germany!O19</f>
        <v>1.5094893972030978</v>
      </c>
      <c r="D148" s="22">
        <f>China!P19</f>
        <v>1.5931372549019607</v>
      </c>
      <c r="E148" s="22">
        <f>Italy!O19</f>
        <v>1.2265331664570709</v>
      </c>
      <c r="F148" s="22">
        <f>France!O19</f>
        <v>1.032282750646067</v>
      </c>
      <c r="G148" s="22">
        <f>Japan!P19</f>
        <v>0.48419979612638764</v>
      </c>
      <c r="H148" s="22">
        <f>UK!O19</f>
        <v>2.5577557755772298</v>
      </c>
      <c r="I148" s="22">
        <f>Iran!O19</f>
        <v>8.1308214860984638</v>
      </c>
    </row>
    <row r="149" spans="1:9" ht="14.25" customHeight="1" x14ac:dyDescent="0.3">
      <c r="A149" s="56">
        <v>2018</v>
      </c>
      <c r="B149" s="22">
        <f>USA!O20</f>
        <v>2.4392034954165429</v>
      </c>
      <c r="C149" s="23">
        <f>Germany!O20</f>
        <v>1.7321729418277612</v>
      </c>
      <c r="D149" s="22">
        <f>China!P20</f>
        <v>2.0747889022919233</v>
      </c>
      <c r="E149" s="22">
        <f>Italy!O20</f>
        <v>1.1374876360049573</v>
      </c>
      <c r="F149" s="22">
        <f>France!O20</f>
        <v>1.8508150831556218</v>
      </c>
      <c r="G149" s="22">
        <f>Japan!P20</f>
        <v>0.98909459802185318</v>
      </c>
      <c r="H149" s="22">
        <f>UK!O20</f>
        <v>2.29283990345938</v>
      </c>
      <c r="I149" s="22">
        <f>Iran!O20</f>
        <v>26.632124352331608</v>
      </c>
    </row>
    <row r="150" spans="1:9" ht="14.25" customHeight="1" x14ac:dyDescent="0.3">
      <c r="A150" s="56">
        <v>2019</v>
      </c>
      <c r="B150" s="22">
        <f>USA!O21</f>
        <v>1.813221823974511</v>
      </c>
      <c r="C150" s="23">
        <f>Germany!O21</f>
        <v>1.4456587717239722</v>
      </c>
      <c r="D150" s="22">
        <f>China!P21</f>
        <v>2.8992357992587992</v>
      </c>
      <c r="E150" s="22">
        <f>Italy!O21</f>
        <v>0.61124694376528121</v>
      </c>
      <c r="F150" s="22">
        <f>France!O21</f>
        <v>1.1082549228829162</v>
      </c>
      <c r="G150" s="22">
        <f>Japan!P21</f>
        <v>0.46877615938393663</v>
      </c>
      <c r="H150" s="22">
        <f>UK!O21</f>
        <v>1.7381046008644967</v>
      </c>
      <c r="I150" s="22">
        <f>Iran!O21</f>
        <v>34.375</v>
      </c>
    </row>
    <row r="151" spans="1:9" ht="14.25" customHeight="1" x14ac:dyDescent="0.3">
      <c r="A151" s="56">
        <v>2020</v>
      </c>
      <c r="B151" s="22">
        <f>USA!O22</f>
        <v>1.252870101270082</v>
      </c>
      <c r="C151" s="23">
        <f>Germany!O22</f>
        <v>0.14485748793685785</v>
      </c>
      <c r="D151" s="22">
        <f>China!P22</f>
        <v>2.4194165837222403</v>
      </c>
      <c r="E151" s="22">
        <f>Italy!O22</f>
        <v>-0.137707573916896</v>
      </c>
      <c r="F151" s="22">
        <f>France!O22</f>
        <v>0.47649885272443987</v>
      </c>
      <c r="G151" s="22">
        <f>Japan!P22</f>
        <v>-2.49958340277311E-2</v>
      </c>
      <c r="H151" s="22">
        <f>UK!O22</f>
        <v>0.98948670377274006</v>
      </c>
      <c r="I151" s="22">
        <f>Iran!O22</f>
        <v>36.200662276862175</v>
      </c>
    </row>
    <row r="152" spans="1:9" ht="14.25" customHeight="1" x14ac:dyDescent="0.3">
      <c r="A152" s="56">
        <v>2021</v>
      </c>
      <c r="B152" s="22">
        <f>USA!O23</f>
        <v>4.6809809314831492</v>
      </c>
      <c r="C152" s="23">
        <f>Germany!O23</f>
        <v>3.0666789129998722</v>
      </c>
      <c r="D152" s="22">
        <f>China!P23</f>
        <v>0.9810271361300863</v>
      </c>
      <c r="E152" s="22">
        <f>Italy!O23</f>
        <v>1.873783257624936</v>
      </c>
      <c r="F152" s="22">
        <f>France!O23</f>
        <v>1.6423314103839362</v>
      </c>
      <c r="G152" s="22">
        <f>Japan!P23</f>
        <v>-0.23335277939826252</v>
      </c>
      <c r="H152" s="22">
        <f>UK!O23</f>
        <v>2.5183710961423791</v>
      </c>
      <c r="I152" s="22">
        <f>Iran!O23</f>
        <v>39.727252403308746</v>
      </c>
    </row>
    <row r="153" spans="1:9" ht="14.25" customHeight="1" x14ac:dyDescent="0.3">
      <c r="A153" s="56">
        <v>2022</v>
      </c>
      <c r="B153" s="22">
        <f>USA!O24</f>
        <v>7.9908330350256156</v>
      </c>
      <c r="C153" s="23">
        <f>Germany!O24</f>
        <v>6.8725715877369922</v>
      </c>
      <c r="D153" s="22">
        <f>China!P24</f>
        <v>1.9735669331110046</v>
      </c>
      <c r="E153" s="22">
        <f>Italy!O24</f>
        <v>8.2012899116168754</v>
      </c>
      <c r="F153" s="22">
        <f>France!O24</f>
        <v>5.2223674836975684</v>
      </c>
      <c r="G153" s="22">
        <f>Japan!P24</f>
        <v>2.4977027817225492</v>
      </c>
      <c r="H153" s="22">
        <f>UK!O24</f>
        <v>7.9220488314794624</v>
      </c>
      <c r="I153" s="22">
        <f>Iran!O24</f>
        <v>44.957999999999998</v>
      </c>
    </row>
    <row r="154" spans="1:9" ht="14.25" customHeight="1" x14ac:dyDescent="0.3">
      <c r="A154" s="56">
        <v>2023</v>
      </c>
      <c r="B154" s="22">
        <f>USA!O25</f>
        <v>4.1271110564338098</v>
      </c>
      <c r="C154" s="23">
        <f>Germany!O25</f>
        <v>5.9464354590163424</v>
      </c>
      <c r="D154" s="22">
        <f>China!P25</f>
        <v>0.23484144191731043</v>
      </c>
      <c r="E154" s="22">
        <f>Italy!O25</f>
        <v>5.6221944219592528</v>
      </c>
      <c r="F154" s="22">
        <f>France!O25</f>
        <v>4.8783572650838654</v>
      </c>
      <c r="G154" s="22">
        <f>Japan!P25</f>
        <v>3.2681336593316339</v>
      </c>
      <c r="H154" s="22">
        <f>UK!O25</f>
        <v>6.793967067939402</v>
      </c>
      <c r="I154" s="22">
        <f>Iran!O25</f>
        <v>40.702824266339221</v>
      </c>
    </row>
    <row r="155" spans="1:9" ht="14.25" customHeight="1" x14ac:dyDescent="0.3">
      <c r="A155" s="56">
        <v>2024</v>
      </c>
      <c r="B155" s="22">
        <f>USA!O26</f>
        <v>2.9520549518711681</v>
      </c>
      <c r="C155" s="23">
        <f>Germany!O26</f>
        <v>2.2564932777899438</v>
      </c>
      <c r="D155" s="22">
        <f>China!P26</f>
        <v>0.2181257208661424</v>
      </c>
      <c r="E155" s="22">
        <f>Italy!O26</f>
        <v>0.98237302306139318</v>
      </c>
      <c r="F155" s="22">
        <f>France!O26</f>
        <v>1.999049422915165</v>
      </c>
      <c r="G155" s="22">
        <f>Japan!P26</f>
        <v>2.7385368163524064</v>
      </c>
      <c r="H155" s="22">
        <f>UK!O26</f>
        <v>3.271572946358889</v>
      </c>
      <c r="I155" s="22">
        <f>Iran!O26</f>
        <v>32.788782114140034</v>
      </c>
    </row>
    <row r="166" spans="1:2" ht="14.25" customHeight="1" x14ac:dyDescent="0.3">
      <c r="A166" s="59" t="s">
        <v>248</v>
      </c>
    </row>
    <row r="167" spans="1:2" ht="14.25" customHeight="1" x14ac:dyDescent="0.3">
      <c r="A167" s="42" t="s">
        <v>243</v>
      </c>
      <c r="B167" s="42" t="s">
        <v>249</v>
      </c>
    </row>
    <row r="168" spans="1:2" ht="14.25" customHeight="1" x14ac:dyDescent="0.3">
      <c r="A168" s="56" t="s">
        <v>234</v>
      </c>
      <c r="B168">
        <f>SUMPRODUCT(ABS(USA!O3:O26-USA!P3:P26))/COUNT(USA!O3:O26)</f>
        <v>0.42240939633996866</v>
      </c>
    </row>
    <row r="169" spans="1:2" ht="14.25" customHeight="1" x14ac:dyDescent="0.3">
      <c r="A169" s="56" t="s">
        <v>235</v>
      </c>
      <c r="B169">
        <f>SUMPRODUCT(ABS(Germany!O3:O26-Germany!P3:P26))/COUNT(Germany!O3:O26)</f>
        <v>0.76386575615231489</v>
      </c>
    </row>
    <row r="170" spans="1:2" ht="14.25" customHeight="1" x14ac:dyDescent="0.3">
      <c r="A170" s="56" t="s">
        <v>236</v>
      </c>
      <c r="B170">
        <f>SUMPRODUCT(ABS(China!P3:P26-China!Q3:Q26))/COUNT(China!P3:P26)</f>
        <v>1.6503994495072778</v>
      </c>
    </row>
    <row r="171" spans="1:2" ht="14.25" customHeight="1" x14ac:dyDescent="0.3">
      <c r="A171" s="56" t="s">
        <v>237</v>
      </c>
      <c r="B171">
        <f>SUMPRODUCT(ABS(Italy!O3:O26-Italy!P3:P26))/COUNT(Italy!O3:O26)</f>
        <v>0.86245047653229301</v>
      </c>
    </row>
    <row r="172" spans="1:2" ht="14.25" customHeight="1" x14ac:dyDescent="0.3">
      <c r="A172" s="56" t="s">
        <v>238</v>
      </c>
      <c r="B172">
        <f>SUMPRODUCT(ABS(France!O3:O26-France!P3:P26))/COUNT(France!O3:O26)</f>
        <v>0.58509834271244177</v>
      </c>
    </row>
    <row r="173" spans="1:2" ht="14.25" customHeight="1" x14ac:dyDescent="0.3">
      <c r="A173" s="56" t="s">
        <v>239</v>
      </c>
      <c r="B173">
        <f>SUMPRODUCT(ABS(Japan!P3:P26-Japan!Q3:Q26))/COUNT(Japan!P3:P26)</f>
        <v>0.9790884025569172</v>
      </c>
    </row>
    <row r="174" spans="1:2" ht="14.25" customHeight="1" x14ac:dyDescent="0.3">
      <c r="A174" s="56" t="s">
        <v>240</v>
      </c>
      <c r="B174">
        <f>SUMPRODUCT(ABS(UK!O3:O26-UK!P3:P26))/COUNT(UK!O3:O26)</f>
        <v>0.87946539824909864</v>
      </c>
    </row>
    <row r="175" spans="1:2" ht="14.25" customHeight="1" x14ac:dyDescent="0.3">
      <c r="A175" s="56" t="s">
        <v>241</v>
      </c>
      <c r="B175">
        <f>SUMPRODUCT(ABS(Iran!O3:O26-Iran!P3:P26))/COUNT(Iran!O3:O26)</f>
        <v>6.4775892775708099</v>
      </c>
    </row>
    <row r="182" ht="15.75" customHeight="1" x14ac:dyDescent="0.3"/>
    <row r="194" spans="1:9" ht="15.75" customHeight="1" x14ac:dyDescent="0.3">
      <c r="A194" s="59" t="s">
        <v>255</v>
      </c>
    </row>
    <row r="195" spans="1:9" ht="14.25" customHeight="1" x14ac:dyDescent="0.3">
      <c r="A195" s="42" t="s">
        <v>0</v>
      </c>
      <c r="B195" s="42" t="s">
        <v>234</v>
      </c>
      <c r="C195" s="42" t="s">
        <v>235</v>
      </c>
      <c r="D195" s="42" t="s">
        <v>236</v>
      </c>
      <c r="E195" s="42" t="s">
        <v>237</v>
      </c>
      <c r="F195" s="42" t="s">
        <v>238</v>
      </c>
      <c r="G195" s="42" t="s">
        <v>239</v>
      </c>
      <c r="H195" s="42" t="s">
        <v>240</v>
      </c>
      <c r="I195" s="42" t="s">
        <v>241</v>
      </c>
    </row>
    <row r="196" spans="1:9" ht="14.25" customHeight="1" x14ac:dyDescent="0.3">
      <c r="A196" s="56">
        <v>2000</v>
      </c>
      <c r="B196" s="22">
        <f>USA!B2</f>
        <v>4</v>
      </c>
      <c r="C196">
        <f>Germany!B2</f>
        <v>8</v>
      </c>
      <c r="D196">
        <f>China!B2</f>
        <v>6.84</v>
      </c>
      <c r="E196">
        <f>Italy!B2</f>
        <v>10.1</v>
      </c>
      <c r="F196">
        <f>France!B2</f>
        <v>9.1999999999999993</v>
      </c>
      <c r="G196">
        <f>Japan!B2</f>
        <v>4.7</v>
      </c>
      <c r="H196">
        <f>UK!B2</f>
        <v>5.5</v>
      </c>
      <c r="I196" s="22">
        <f>Iran!B2</f>
        <v>0</v>
      </c>
    </row>
    <row r="197" spans="1:9" ht="14.25" customHeight="1" x14ac:dyDescent="0.3">
      <c r="A197" s="56">
        <v>2001</v>
      </c>
      <c r="B197" s="22">
        <f>USA!B3</f>
        <v>4.7</v>
      </c>
      <c r="C197">
        <f>Germany!B3</f>
        <v>7.8</v>
      </c>
      <c r="D197">
        <f>China!B3</f>
        <v>7.9939999999999998</v>
      </c>
      <c r="E197">
        <f>Italy!B3</f>
        <v>9.1</v>
      </c>
      <c r="F197">
        <f>France!B3</f>
        <v>8.5</v>
      </c>
      <c r="G197">
        <f>Japan!B3</f>
        <v>5</v>
      </c>
      <c r="H197">
        <f>UK!B3</f>
        <v>5.0999999999999996</v>
      </c>
      <c r="I197" s="22">
        <f>Iran!B3</f>
        <v>0</v>
      </c>
    </row>
    <row r="198" spans="1:9" ht="14.25" customHeight="1" x14ac:dyDescent="0.3">
      <c r="A198" s="56">
        <v>2002</v>
      </c>
      <c r="B198" s="22">
        <f>USA!B4</f>
        <v>5.8</v>
      </c>
      <c r="C198">
        <f>Germany!B4</f>
        <v>8.6</v>
      </c>
      <c r="D198">
        <f>China!B4</f>
        <v>8.9190000000000005</v>
      </c>
      <c r="E198">
        <f>Italy!B4</f>
        <v>8.6</v>
      </c>
      <c r="F198">
        <f>France!B4</f>
        <v>8.3000000000000007</v>
      </c>
      <c r="G198">
        <f>Japan!B4</f>
        <v>5.4</v>
      </c>
      <c r="H198">
        <f>UK!B4</f>
        <v>5.2</v>
      </c>
      <c r="I198" s="22">
        <f>Iran!B4</f>
        <v>0</v>
      </c>
    </row>
    <row r="199" spans="1:9" ht="14.25" customHeight="1" x14ac:dyDescent="0.3">
      <c r="A199" s="56">
        <v>2003</v>
      </c>
      <c r="B199" s="22">
        <f>USA!B5</f>
        <v>6</v>
      </c>
      <c r="C199">
        <f>Germany!B5</f>
        <v>9.6999999999999993</v>
      </c>
      <c r="D199">
        <f>China!B5</f>
        <v>9.6240000000000006</v>
      </c>
      <c r="E199">
        <f>Italy!B5</f>
        <v>8.5</v>
      </c>
      <c r="F199">
        <f>France!B5</f>
        <v>8.5</v>
      </c>
      <c r="G199">
        <f>Japan!B5</f>
        <v>5.2</v>
      </c>
      <c r="H199">
        <f>UK!B5</f>
        <v>5</v>
      </c>
      <c r="I199" s="22">
        <f>Iran!B5</f>
        <v>0</v>
      </c>
    </row>
    <row r="200" spans="1:9" ht="14.25" customHeight="1" x14ac:dyDescent="0.3">
      <c r="A200" s="56">
        <v>2004</v>
      </c>
      <c r="B200" s="22">
        <f>USA!B6</f>
        <v>5.5</v>
      </c>
      <c r="C200">
        <f>Germany!B6</f>
        <v>10.3</v>
      </c>
      <c r="D200">
        <f>China!B6</f>
        <v>9.4329999999999998</v>
      </c>
      <c r="E200">
        <f>Italy!B6</f>
        <v>8</v>
      </c>
      <c r="F200">
        <f>France!B6</f>
        <v>8.9</v>
      </c>
      <c r="G200">
        <f>Japan!B6</f>
        <v>4.7</v>
      </c>
      <c r="H200">
        <f>UK!B6</f>
        <v>4.8</v>
      </c>
      <c r="I200" s="22">
        <f>Iran!B6</f>
        <v>0</v>
      </c>
    </row>
    <row r="201" spans="1:9" ht="14.25" customHeight="1" x14ac:dyDescent="0.3">
      <c r="A201" s="56">
        <v>2005</v>
      </c>
      <c r="B201" s="22">
        <f>USA!B7</f>
        <v>5.0999999999999996</v>
      </c>
      <c r="C201">
        <f>Germany!B7</f>
        <v>11</v>
      </c>
      <c r="D201">
        <f>China!B7</f>
        <v>9.4949999999999992</v>
      </c>
      <c r="E201">
        <f>Italy!B7</f>
        <v>7.8</v>
      </c>
      <c r="F201">
        <f>France!B7</f>
        <v>8.9</v>
      </c>
      <c r="G201">
        <f>Japan!B7</f>
        <v>4.4000000000000004</v>
      </c>
      <c r="H201">
        <f>UK!B7</f>
        <v>4.8</v>
      </c>
      <c r="I201" s="22">
        <f>Iran!B7</f>
        <v>11.574999999999999</v>
      </c>
    </row>
    <row r="202" spans="1:9" ht="14.25" customHeight="1" x14ac:dyDescent="0.3">
      <c r="A202" s="56">
        <v>2006</v>
      </c>
      <c r="B202" s="22">
        <f>USA!B8</f>
        <v>4.5999999999999996</v>
      </c>
      <c r="C202">
        <f>Germany!B8</f>
        <v>10.1</v>
      </c>
      <c r="D202">
        <f>China!B8</f>
        <v>9.3309999999999995</v>
      </c>
      <c r="E202">
        <f>Italy!B8</f>
        <v>6.9</v>
      </c>
      <c r="F202">
        <f>France!B8</f>
        <v>8.9</v>
      </c>
      <c r="G202">
        <f>Japan!B8</f>
        <v>4.0999999999999996</v>
      </c>
      <c r="H202">
        <f>UK!B8</f>
        <v>5.4</v>
      </c>
      <c r="I202" s="22">
        <f>Iran!B8</f>
        <v>11.35</v>
      </c>
    </row>
    <row r="203" spans="1:9" ht="14.25" customHeight="1" x14ac:dyDescent="0.3">
      <c r="A203" s="56">
        <v>2007</v>
      </c>
      <c r="B203" s="22">
        <f>USA!B9</f>
        <v>4.5999999999999996</v>
      </c>
      <c r="C203">
        <f>Germany!B9</f>
        <v>8.6</v>
      </c>
      <c r="D203">
        <f>China!B9</f>
        <v>9.2240000000000002</v>
      </c>
      <c r="E203">
        <f>Italy!B9</f>
        <v>6.2</v>
      </c>
      <c r="F203">
        <f>France!B9</f>
        <v>8</v>
      </c>
      <c r="G203">
        <f>Japan!B9</f>
        <v>3.8</v>
      </c>
      <c r="H203">
        <f>UK!B9</f>
        <v>5.3</v>
      </c>
      <c r="I203" s="22">
        <f>Iran!B9</f>
        <v>10.6</v>
      </c>
    </row>
    <row r="204" spans="1:9" ht="14.25" customHeight="1" x14ac:dyDescent="0.3">
      <c r="A204" s="56">
        <v>2008</v>
      </c>
      <c r="B204" s="22">
        <f>USA!B10</f>
        <v>5.8</v>
      </c>
      <c r="C204">
        <f>Germany!B10</f>
        <v>7.4</v>
      </c>
      <c r="D204">
        <f>China!B10</f>
        <v>9.8030000000000008</v>
      </c>
      <c r="E204">
        <f>Italy!B10</f>
        <v>6.8</v>
      </c>
      <c r="F204">
        <f>France!B10</f>
        <v>7.4</v>
      </c>
      <c r="G204">
        <f>Japan!B10</f>
        <v>4</v>
      </c>
      <c r="H204">
        <f>UK!B10</f>
        <v>5.7</v>
      </c>
      <c r="I204" s="22">
        <f>Iran!B10</f>
        <v>10.475</v>
      </c>
    </row>
    <row r="205" spans="1:9" ht="14.25" customHeight="1" x14ac:dyDescent="0.3">
      <c r="A205" s="56">
        <v>2009</v>
      </c>
      <c r="B205" s="22">
        <f>USA!B11</f>
        <v>9.3000000000000007</v>
      </c>
      <c r="C205">
        <f>Germany!B11</f>
        <v>7.4</v>
      </c>
      <c r="D205">
        <f>China!B11</f>
        <v>10.15</v>
      </c>
      <c r="E205">
        <f>Italy!B11</f>
        <v>7.9</v>
      </c>
      <c r="F205">
        <f>France!B11</f>
        <v>9.1</v>
      </c>
      <c r="G205">
        <f>Japan!B11</f>
        <v>5.0999999999999996</v>
      </c>
      <c r="H205">
        <f>UK!B11</f>
        <v>7.6</v>
      </c>
      <c r="I205" s="22">
        <f>Iran!B11</f>
        <v>12.025</v>
      </c>
    </row>
    <row r="206" spans="1:9" ht="14.25" customHeight="1" x14ac:dyDescent="0.3">
      <c r="A206" s="56">
        <v>2010</v>
      </c>
      <c r="B206" s="22">
        <f>USA!B12</f>
        <v>9.6</v>
      </c>
      <c r="C206">
        <f>Germany!B12</f>
        <v>6.6</v>
      </c>
      <c r="D206">
        <f>China!B12</f>
        <v>9.8230000000000004</v>
      </c>
      <c r="E206">
        <f>Italy!B12</f>
        <v>8.5</v>
      </c>
      <c r="F206">
        <f>France!B12</f>
        <v>9.3000000000000007</v>
      </c>
      <c r="G206">
        <f>Japan!B12</f>
        <v>5.0999999999999996</v>
      </c>
      <c r="H206">
        <f>UK!B12</f>
        <v>7.9</v>
      </c>
      <c r="I206" s="22">
        <f>Iran!B12</f>
        <v>13.525</v>
      </c>
    </row>
    <row r="207" spans="1:9" ht="14.25" customHeight="1" x14ac:dyDescent="0.3">
      <c r="A207" s="56">
        <v>2011</v>
      </c>
      <c r="B207" s="22">
        <f>USA!B13</f>
        <v>8.9</v>
      </c>
      <c r="C207">
        <f>Germany!B13</f>
        <v>5.5</v>
      </c>
      <c r="D207">
        <f>China!B13</f>
        <v>9.9760000000000009</v>
      </c>
      <c r="E207">
        <f>Italy!B13</f>
        <v>8.6</v>
      </c>
      <c r="F207">
        <f>France!B13</f>
        <v>9.1999999999999993</v>
      </c>
      <c r="G207">
        <f>Japan!B13</f>
        <v>4.5999999999999996</v>
      </c>
      <c r="H207">
        <f>UK!B13</f>
        <v>8.1</v>
      </c>
      <c r="I207" s="22">
        <f>Iran!B13</f>
        <v>12.324999999999999</v>
      </c>
    </row>
    <row r="208" spans="1:9" ht="14.25" customHeight="1" x14ac:dyDescent="0.3">
      <c r="A208" s="56">
        <v>2012</v>
      </c>
      <c r="B208" s="22">
        <f>USA!B14</f>
        <v>8.1</v>
      </c>
      <c r="C208">
        <f>Germany!B14</f>
        <v>5.0999999999999996</v>
      </c>
      <c r="D208">
        <f>China!B14</f>
        <v>10.154</v>
      </c>
      <c r="E208">
        <f>Italy!B14</f>
        <v>10.9</v>
      </c>
      <c r="F208">
        <f>France!B14</f>
        <v>9.8000000000000007</v>
      </c>
      <c r="G208">
        <f>Japan!B14</f>
        <v>4.3</v>
      </c>
      <c r="H208">
        <f>UK!B14</f>
        <v>8</v>
      </c>
      <c r="I208" s="22">
        <f>Iran!B14</f>
        <v>12.15</v>
      </c>
    </row>
    <row r="209" spans="1:10" ht="14.25" customHeight="1" x14ac:dyDescent="0.3">
      <c r="A209" s="56">
        <v>2013</v>
      </c>
      <c r="B209" s="22">
        <f>USA!B15</f>
        <v>7.4</v>
      </c>
      <c r="C209">
        <f>Germany!B15</f>
        <v>4.9000000000000004</v>
      </c>
      <c r="D209">
        <f>China!B15</f>
        <v>10.316000000000001</v>
      </c>
      <c r="E209">
        <f>Italy!B15</f>
        <v>12.4</v>
      </c>
      <c r="F209">
        <f>France!B15</f>
        <v>10.3</v>
      </c>
      <c r="G209">
        <f>Japan!B15</f>
        <v>4</v>
      </c>
      <c r="H209">
        <f>UK!B15</f>
        <v>7.6</v>
      </c>
      <c r="I209" s="22">
        <f>Iran!B15</f>
        <v>10.45</v>
      </c>
    </row>
    <row r="210" spans="1:10" ht="14.25" customHeight="1" x14ac:dyDescent="0.3">
      <c r="A210" s="56">
        <v>2014</v>
      </c>
      <c r="B210" s="22">
        <f>USA!B16</f>
        <v>6.2</v>
      </c>
      <c r="C210">
        <f>Germany!B16</f>
        <v>4.7</v>
      </c>
      <c r="D210">
        <f>China!B16</f>
        <v>10.507</v>
      </c>
      <c r="E210">
        <f>Italy!B16</f>
        <v>12.8</v>
      </c>
      <c r="F210">
        <f>France!B16</f>
        <v>10.3</v>
      </c>
      <c r="G210">
        <f>Japan!B16</f>
        <v>3.6</v>
      </c>
      <c r="H210">
        <f>UK!B16</f>
        <v>6.2</v>
      </c>
      <c r="I210" s="22">
        <f>Iran!B16</f>
        <v>10.55</v>
      </c>
    </row>
    <row r="211" spans="1:10" ht="14.25" customHeight="1" x14ac:dyDescent="0.3">
      <c r="A211" s="56">
        <v>2015</v>
      </c>
      <c r="B211" s="22">
        <f>USA!B17</f>
        <v>5.3</v>
      </c>
      <c r="C211">
        <f>Germany!B17</f>
        <v>4.4000000000000004</v>
      </c>
      <c r="D211">
        <f>China!B17</f>
        <v>10.68</v>
      </c>
      <c r="E211">
        <f>Italy!B17</f>
        <v>12</v>
      </c>
      <c r="F211">
        <f>France!B17</f>
        <v>10.3</v>
      </c>
      <c r="G211">
        <f>Japan!B17</f>
        <v>3.4</v>
      </c>
      <c r="H211">
        <f>UK!B17</f>
        <v>5.4</v>
      </c>
      <c r="I211" s="22">
        <f>Iran!B17</f>
        <v>11.05</v>
      </c>
    </row>
    <row r="212" spans="1:10" ht="14.25" customHeight="1" x14ac:dyDescent="0.3">
      <c r="A212" s="56">
        <v>2016</v>
      </c>
      <c r="B212" s="22">
        <f>USA!B18</f>
        <v>4.9000000000000004</v>
      </c>
      <c r="C212">
        <f>Germany!B18</f>
        <v>3.9</v>
      </c>
      <c r="D212">
        <f>China!B18</f>
        <v>10.574</v>
      </c>
      <c r="E212">
        <f>Italy!B18</f>
        <v>11.7</v>
      </c>
      <c r="F212">
        <f>France!B18</f>
        <v>10.1</v>
      </c>
      <c r="G212">
        <f>Japan!B18</f>
        <v>3.1</v>
      </c>
      <c r="H212">
        <f>UK!B18</f>
        <v>4.9000000000000004</v>
      </c>
      <c r="I212" s="22">
        <f>Iran!B18</f>
        <v>12.425000000000001</v>
      </c>
    </row>
    <row r="213" spans="1:10" ht="14.25" customHeight="1" x14ac:dyDescent="0.3">
      <c r="A213" s="56">
        <v>2017</v>
      </c>
      <c r="B213" s="22">
        <f>USA!B19</f>
        <v>4.4000000000000004</v>
      </c>
      <c r="C213">
        <f>Germany!B19</f>
        <v>3.5</v>
      </c>
      <c r="D213">
        <f>China!B19</f>
        <v>10.430999999999999</v>
      </c>
      <c r="E213">
        <f>Italy!B19</f>
        <v>11.3</v>
      </c>
      <c r="F213">
        <f>France!B19</f>
        <v>9.4</v>
      </c>
      <c r="G213">
        <f>Japan!B19</f>
        <v>2.8</v>
      </c>
      <c r="H213">
        <f>UK!B19</f>
        <v>4.4000000000000004</v>
      </c>
      <c r="I213" s="22">
        <f>Iran!B19</f>
        <v>12.1</v>
      </c>
    </row>
    <row r="214" spans="1:10" ht="14.25" customHeight="1" x14ac:dyDescent="0.3">
      <c r="A214" s="56">
        <v>2018</v>
      </c>
      <c r="B214" s="22">
        <f>USA!B20</f>
        <v>3.9</v>
      </c>
      <c r="C214">
        <f>Germany!B20</f>
        <v>3.2</v>
      </c>
      <c r="D214">
        <f>China!B20</f>
        <v>9.6739999999999995</v>
      </c>
      <c r="E214">
        <f>Italy!B20</f>
        <v>10.6</v>
      </c>
      <c r="F214">
        <f>France!B20</f>
        <v>9</v>
      </c>
      <c r="G214">
        <f>Japan!B20</f>
        <v>2.4</v>
      </c>
      <c r="H214">
        <f>UK!B20</f>
        <v>4.0999999999999996</v>
      </c>
      <c r="I214" s="22">
        <f>Iran!B20</f>
        <v>12.05</v>
      </c>
    </row>
    <row r="215" spans="1:10" ht="14.25" customHeight="1" x14ac:dyDescent="0.3">
      <c r="A215" s="56">
        <v>2019</v>
      </c>
      <c r="B215" s="22">
        <f>USA!B21</f>
        <v>3.7</v>
      </c>
      <c r="C215">
        <f>Germany!B21</f>
        <v>3</v>
      </c>
      <c r="D215">
        <f>China!B21</f>
        <v>10.680999999999999</v>
      </c>
      <c r="E215">
        <f>Italy!B21</f>
        <v>9.9</v>
      </c>
      <c r="F215">
        <f>France!B21</f>
        <v>8.4</v>
      </c>
      <c r="G215">
        <f>Japan!B21</f>
        <v>2.4</v>
      </c>
      <c r="H215">
        <f>UK!B21</f>
        <v>3.9</v>
      </c>
      <c r="I215" s="22">
        <f>Iran!B21</f>
        <v>10.65</v>
      </c>
    </row>
    <row r="216" spans="1:10" ht="14.25" customHeight="1" x14ac:dyDescent="0.3">
      <c r="A216" s="56">
        <v>2020</v>
      </c>
      <c r="B216" s="22">
        <f>USA!B22</f>
        <v>8.1</v>
      </c>
      <c r="C216">
        <f>Germany!B22</f>
        <v>3.7</v>
      </c>
      <c r="D216">
        <f>China!B22</f>
        <v>12.65</v>
      </c>
      <c r="E216">
        <f>Italy!B22</f>
        <v>9.4</v>
      </c>
      <c r="F216">
        <f>France!B22</f>
        <v>8</v>
      </c>
      <c r="G216">
        <f>Japan!B22</f>
        <v>2.8</v>
      </c>
      <c r="H216">
        <f>UK!B22</f>
        <v>4.5999999999999996</v>
      </c>
      <c r="I216" s="22">
        <f>Iran!B22</f>
        <v>9.609</v>
      </c>
    </row>
    <row r="217" spans="1:10" ht="14.25" customHeight="1" x14ac:dyDescent="0.3">
      <c r="A217" s="56">
        <v>2021</v>
      </c>
      <c r="B217" s="22">
        <f>USA!B23</f>
        <v>5.4</v>
      </c>
      <c r="C217">
        <f>Germany!B23</f>
        <v>3.6</v>
      </c>
      <c r="D217">
        <f>China!B23</f>
        <v>12.404</v>
      </c>
      <c r="E217">
        <f>Italy!B23</f>
        <v>9.6</v>
      </c>
      <c r="F217">
        <f>France!B23</f>
        <v>7.9</v>
      </c>
      <c r="G217">
        <f>Japan!B23</f>
        <v>2.8</v>
      </c>
      <c r="H217">
        <f>UK!B23</f>
        <v>4.5</v>
      </c>
      <c r="I217" s="22">
        <f>Iran!B23</f>
        <v>9.1790000000000003</v>
      </c>
    </row>
    <row r="218" spans="1:10" ht="14.25" customHeight="1" x14ac:dyDescent="0.3">
      <c r="A218" s="56">
        <v>2022</v>
      </c>
      <c r="B218" s="22">
        <f>USA!B24</f>
        <v>3.7</v>
      </c>
      <c r="C218">
        <f>Germany!B24</f>
        <v>3.1</v>
      </c>
      <c r="D218">
        <f>China!B24</f>
        <v>14.673</v>
      </c>
      <c r="E218">
        <f>Italy!B24</f>
        <v>8.1</v>
      </c>
      <c r="F218">
        <f>France!B24</f>
        <v>7.3</v>
      </c>
      <c r="G218">
        <f>Japan!B24</f>
        <v>2.6</v>
      </c>
      <c r="H218">
        <f>UK!B24</f>
        <v>3.8</v>
      </c>
      <c r="I218" s="22">
        <f>Iran!B24</f>
        <v>9</v>
      </c>
    </row>
    <row r="219" spans="1:10" ht="14.25" customHeight="1" x14ac:dyDescent="0.3">
      <c r="A219" s="56">
        <v>2023</v>
      </c>
      <c r="B219" s="22">
        <f>USA!B25</f>
        <v>3.6</v>
      </c>
      <c r="C219">
        <f>Germany!B25</f>
        <v>3.1</v>
      </c>
      <c r="D219">
        <f>China!B25</f>
        <v>15.561999999999999</v>
      </c>
      <c r="E219">
        <f>Italy!B25</f>
        <v>7.7</v>
      </c>
      <c r="F219">
        <f>France!B25</f>
        <v>7.3</v>
      </c>
      <c r="G219">
        <f>Japan!B25</f>
        <v>2.6</v>
      </c>
      <c r="H219">
        <f>UK!B25</f>
        <v>4.0999999999999996</v>
      </c>
      <c r="I219" s="22">
        <f>Iran!B25</f>
        <v>8.0749999999999993</v>
      </c>
    </row>
    <row r="220" spans="1:10" ht="14.25" customHeight="1" x14ac:dyDescent="0.3">
      <c r="A220" s="56">
        <v>2024</v>
      </c>
      <c r="B220" s="22">
        <f>USA!B26</f>
        <v>4</v>
      </c>
      <c r="C220">
        <f>Germany!B26</f>
        <v>3.4</v>
      </c>
      <c r="D220">
        <f>China!B26</f>
        <v>15.044</v>
      </c>
      <c r="E220">
        <f>Italy!B26</f>
        <v>6.6</v>
      </c>
      <c r="F220">
        <f>France!B26</f>
        <v>7.5</v>
      </c>
      <c r="G220">
        <f>Japan!B26</f>
        <v>2.5</v>
      </c>
      <c r="H220">
        <f>UK!B26</f>
        <v>4.3</v>
      </c>
      <c r="I220" s="22">
        <f>Iran!B26</f>
        <v>7.55</v>
      </c>
    </row>
    <row r="223" spans="1:10" ht="15.75" customHeight="1" x14ac:dyDescent="0.3">
      <c r="A223" s="59" t="s">
        <v>256</v>
      </c>
    </row>
    <row r="224" spans="1:10" ht="14.25" customHeight="1" x14ac:dyDescent="0.3">
      <c r="A224" s="42" t="s">
        <v>0</v>
      </c>
      <c r="B224" s="42" t="s">
        <v>234</v>
      </c>
      <c r="C224" s="42" t="s">
        <v>235</v>
      </c>
      <c r="D224" s="42" t="s">
        <v>236</v>
      </c>
      <c r="E224" s="42" t="s">
        <v>237</v>
      </c>
      <c r="F224" s="42" t="s">
        <v>238</v>
      </c>
      <c r="G224" s="42" t="s">
        <v>239</v>
      </c>
      <c r="H224" s="42" t="s">
        <v>240</v>
      </c>
      <c r="I224" s="42" t="s">
        <v>241</v>
      </c>
      <c r="J224" s="61"/>
    </row>
    <row r="225" spans="1:9" ht="14.25" customHeight="1" x14ac:dyDescent="0.3">
      <c r="A225" s="56">
        <v>2000</v>
      </c>
      <c r="B225" s="22">
        <f>USA!S2</f>
        <v>-1.7039999999999997</v>
      </c>
      <c r="C225" s="23">
        <f>Germany!S2</f>
        <v>1.9760000000000018</v>
      </c>
      <c r="D225" s="22">
        <f>China!T2</f>
        <v>-3.7184800000000013</v>
      </c>
      <c r="E225" s="22">
        <f>Italy!S2</f>
        <v>0.90000000000000036</v>
      </c>
      <c r="F225" s="22">
        <f>France!S2</f>
        <v>0.4079999999999977</v>
      </c>
      <c r="G225" s="22">
        <f>Japan!T2</f>
        <v>0.88400000000000034</v>
      </c>
      <c r="H225" s="22">
        <f>UK!S2</f>
        <v>5.1999999999999602E-2</v>
      </c>
      <c r="I225" s="22">
        <f>Iran!S2</f>
        <v>0</v>
      </c>
    </row>
    <row r="226" spans="1:9" ht="14.25" customHeight="1" x14ac:dyDescent="0.3">
      <c r="A226" s="56">
        <v>2001</v>
      </c>
      <c r="B226" s="22">
        <f>USA!S3</f>
        <v>-1.0039999999999996</v>
      </c>
      <c r="C226" s="23">
        <f>Germany!S3</f>
        <v>1.7760000000000016</v>
      </c>
      <c r="D226" s="22">
        <f>China!T3</f>
        <v>-2.5644800000000014</v>
      </c>
      <c r="E226" s="22">
        <f>Italy!S3</f>
        <v>-9.9999999999999645E-2</v>
      </c>
      <c r="F226" s="22">
        <f>France!S3</f>
        <v>-0.29200000000000159</v>
      </c>
      <c r="G226" s="22">
        <f>Japan!T3</f>
        <v>1.1840000000000002</v>
      </c>
      <c r="H226" s="22">
        <f>UK!S3</f>
        <v>-0.34800000000000075</v>
      </c>
      <c r="I226" s="22">
        <f>Iran!S3</f>
        <v>0</v>
      </c>
    </row>
    <row r="227" spans="1:9" ht="14.25" customHeight="1" x14ac:dyDescent="0.3">
      <c r="A227" s="56">
        <v>2002</v>
      </c>
      <c r="B227" s="22">
        <f>USA!S4</f>
        <v>9.6000000000000085E-2</v>
      </c>
      <c r="C227" s="23">
        <f>Germany!S4</f>
        <v>2.5760000000000014</v>
      </c>
      <c r="D227" s="22">
        <f>China!T4</f>
        <v>-1.6394800000000007</v>
      </c>
      <c r="E227" s="22">
        <f>Italy!S4</f>
        <v>-0.59999999999999964</v>
      </c>
      <c r="F227" s="22">
        <f>France!S4</f>
        <v>-0.49200000000000088</v>
      </c>
      <c r="G227" s="22">
        <f>Japan!T4</f>
        <v>1.5840000000000005</v>
      </c>
      <c r="H227" s="22">
        <f>UK!S4</f>
        <v>-0.24800000000000022</v>
      </c>
      <c r="I227" s="22">
        <f>Iran!S4</f>
        <v>0</v>
      </c>
    </row>
    <row r="228" spans="1:9" ht="14.25" customHeight="1" x14ac:dyDescent="0.3">
      <c r="A228" s="56">
        <v>2003</v>
      </c>
      <c r="B228" s="22">
        <f>USA!S5</f>
        <v>0.29600000000000026</v>
      </c>
      <c r="C228" s="23">
        <f>Germany!S5</f>
        <v>3.676000000000001</v>
      </c>
      <c r="D228" s="22">
        <f>China!T5</f>
        <v>-0.93448000000000064</v>
      </c>
      <c r="E228" s="22">
        <f>Italy!S5</f>
        <v>-0.69999999999999929</v>
      </c>
      <c r="F228" s="22">
        <f>France!S5</f>
        <v>-0.29200000000000159</v>
      </c>
      <c r="G228" s="22">
        <f>Japan!T5</f>
        <v>1.3840000000000003</v>
      </c>
      <c r="H228" s="22">
        <f>UK!S5</f>
        <v>-0.4480000000000004</v>
      </c>
      <c r="I228" s="22">
        <f>Iran!S5</f>
        <v>0</v>
      </c>
    </row>
    <row r="229" spans="1:9" ht="14.25" customHeight="1" x14ac:dyDescent="0.3">
      <c r="A229" s="56">
        <v>2004</v>
      </c>
      <c r="B229" s="22">
        <f>USA!S6</f>
        <v>-0.20399999999999974</v>
      </c>
      <c r="C229" s="23">
        <f>Germany!S6</f>
        <v>4.2760000000000025</v>
      </c>
      <c r="D229" s="22">
        <f>China!T6</f>
        <v>-1.1254800000000014</v>
      </c>
      <c r="E229" s="22">
        <f>Italy!S6</f>
        <v>-1.1999999999999993</v>
      </c>
      <c r="F229" s="22">
        <f>France!S6</f>
        <v>0.10799999999999876</v>
      </c>
      <c r="G229" s="22">
        <f>Japan!T6</f>
        <v>0.88400000000000034</v>
      </c>
      <c r="H229" s="22">
        <f>UK!S6</f>
        <v>-0.64800000000000058</v>
      </c>
      <c r="I229" s="22">
        <f>Iran!S6</f>
        <v>0</v>
      </c>
    </row>
    <row r="230" spans="1:9" ht="14.25" customHeight="1" x14ac:dyDescent="0.3">
      <c r="A230" s="56">
        <v>2005</v>
      </c>
      <c r="B230" s="22">
        <f>USA!S7</f>
        <v>-0.60400000000000009</v>
      </c>
      <c r="C230" s="23">
        <f>Germany!S7</f>
        <v>4.9760000000000018</v>
      </c>
      <c r="D230" s="22">
        <f>China!T7</f>
        <v>-1.063480000000002</v>
      </c>
      <c r="E230" s="22">
        <f>Italy!S7</f>
        <v>-1.3999999999999995</v>
      </c>
      <c r="F230" s="22">
        <f>France!S7</f>
        <v>0.10799999999999876</v>
      </c>
      <c r="G230" s="22">
        <f>Japan!T7</f>
        <v>0.58400000000000052</v>
      </c>
      <c r="H230" s="22">
        <f>UK!S7</f>
        <v>-0.64800000000000058</v>
      </c>
      <c r="I230" s="22">
        <f>Iran!S7</f>
        <v>0.73934999999999818</v>
      </c>
    </row>
    <row r="231" spans="1:9" ht="14.25" customHeight="1" x14ac:dyDescent="0.3">
      <c r="A231" s="56">
        <v>2006</v>
      </c>
      <c r="B231" s="22">
        <f>USA!S8</f>
        <v>-1.1040000000000001</v>
      </c>
      <c r="C231" s="23">
        <f>Germany!S8</f>
        <v>4.0760000000000014</v>
      </c>
      <c r="D231" s="22">
        <f>China!T8</f>
        <v>-1.2274800000000017</v>
      </c>
      <c r="E231" s="22">
        <f>Italy!S8</f>
        <v>-2.2999999999999989</v>
      </c>
      <c r="F231" s="22">
        <f>France!S8</f>
        <v>0.10799999999999876</v>
      </c>
      <c r="G231" s="22">
        <f>Japan!T8</f>
        <v>0.28399999999999981</v>
      </c>
      <c r="H231" s="22">
        <f>UK!S8</f>
        <v>-4.8000000000000043E-2</v>
      </c>
      <c r="I231" s="22">
        <f>Iran!S8</f>
        <v>0.51434999999999853</v>
      </c>
    </row>
    <row r="232" spans="1:9" ht="14.25" customHeight="1" x14ac:dyDescent="0.3">
      <c r="A232" s="56">
        <v>2007</v>
      </c>
      <c r="B232" s="22">
        <f>USA!S9</f>
        <v>-1.1040000000000001</v>
      </c>
      <c r="C232" s="23">
        <f>Germany!S9</f>
        <v>2.5760000000000014</v>
      </c>
      <c r="D232" s="22">
        <f>China!T9</f>
        <v>-1.334480000000001</v>
      </c>
      <c r="E232" s="22">
        <f>Italy!S9</f>
        <v>-2.9999999999999991</v>
      </c>
      <c r="F232" s="22">
        <f>France!S9</f>
        <v>-0.79200000000000159</v>
      </c>
      <c r="G232" s="22">
        <f>Japan!T9</f>
        <v>-1.6000000000000014E-2</v>
      </c>
      <c r="H232" s="22">
        <f>UK!S9</f>
        <v>-0.14800000000000058</v>
      </c>
      <c r="I232" s="22">
        <f>Iran!S9</f>
        <v>-0.23565000000000147</v>
      </c>
    </row>
    <row r="233" spans="1:9" ht="14.25" customHeight="1" x14ac:dyDescent="0.3">
      <c r="A233" s="56">
        <v>2008</v>
      </c>
      <c r="B233" s="22">
        <f>USA!S10</f>
        <v>9.6000000000000085E-2</v>
      </c>
      <c r="C233" s="23">
        <f>Germany!S10</f>
        <v>1.3760000000000021</v>
      </c>
      <c r="D233" s="22">
        <f>China!T10</f>
        <v>-0.75548000000000037</v>
      </c>
      <c r="E233" s="22">
        <f>Italy!S10</f>
        <v>-2.3999999999999995</v>
      </c>
      <c r="F233" s="22">
        <f>France!S10</f>
        <v>-1.3920000000000012</v>
      </c>
      <c r="G233" s="22">
        <f>Japan!T10</f>
        <v>0.18400000000000016</v>
      </c>
      <c r="H233" s="22">
        <f>UK!S10</f>
        <v>0.25199999999999978</v>
      </c>
      <c r="I233" s="22">
        <f>Iran!S10</f>
        <v>-0.36065000000000147</v>
      </c>
    </row>
    <row r="234" spans="1:9" ht="14.25" customHeight="1" x14ac:dyDescent="0.3">
      <c r="A234" s="56">
        <v>2009</v>
      </c>
      <c r="B234" s="22">
        <f>USA!S11</f>
        <v>3.596000000000001</v>
      </c>
      <c r="C234" s="23">
        <f>Germany!S11</f>
        <v>1.3760000000000021</v>
      </c>
      <c r="D234" s="22">
        <f>China!T11</f>
        <v>-0.40848000000000084</v>
      </c>
      <c r="E234" s="22">
        <f>Italy!S11</f>
        <v>-1.2999999999999989</v>
      </c>
      <c r="F234" s="22">
        <f>France!S11</f>
        <v>0.30799999999999805</v>
      </c>
      <c r="G234" s="22">
        <f>Japan!T11</f>
        <v>1.2839999999999998</v>
      </c>
      <c r="H234" s="22">
        <f>UK!S11</f>
        <v>2.1519999999999992</v>
      </c>
      <c r="I234" s="22">
        <f>Iran!S11</f>
        <v>1.1893499999999992</v>
      </c>
    </row>
    <row r="235" spans="1:9" ht="14.25" customHeight="1" x14ac:dyDescent="0.3">
      <c r="A235" s="56">
        <v>2010</v>
      </c>
      <c r="B235" s="22">
        <f>USA!S12</f>
        <v>3.8959999999999999</v>
      </c>
      <c r="C235" s="23">
        <f>Germany!S12</f>
        <v>0.5760000000000014</v>
      </c>
      <c r="D235" s="22">
        <f>China!T12</f>
        <v>-0.7354800000000008</v>
      </c>
      <c r="E235" s="22">
        <f>Italy!S12</f>
        <v>-0.69999999999999929</v>
      </c>
      <c r="F235" s="22">
        <f>France!S12</f>
        <v>0.50799999999999912</v>
      </c>
      <c r="G235" s="22">
        <f>Japan!T12</f>
        <v>1.2839999999999998</v>
      </c>
      <c r="H235" s="22">
        <f>UK!S12</f>
        <v>2.452</v>
      </c>
      <c r="I235" s="22">
        <f>Iran!S12</f>
        <v>2.6893499999999992</v>
      </c>
    </row>
    <row r="236" spans="1:9" ht="14.25" customHeight="1" x14ac:dyDescent="0.3">
      <c r="A236" s="56">
        <v>2011</v>
      </c>
      <c r="B236" s="22">
        <f>USA!S13</f>
        <v>3.1960000000000006</v>
      </c>
      <c r="C236" s="23">
        <f>Germany!S13</f>
        <v>-0.52399999999999824</v>
      </c>
      <c r="D236" s="22">
        <f>China!T13</f>
        <v>-0.58248000000000033</v>
      </c>
      <c r="E236" s="22">
        <f>Italy!S13</f>
        <v>-0.59999999999999964</v>
      </c>
      <c r="F236" s="22">
        <f>France!S13</f>
        <v>0.4079999999999977</v>
      </c>
      <c r="G236" s="22">
        <f>Japan!T13</f>
        <v>0.78399999999999981</v>
      </c>
      <c r="H236" s="22">
        <f>UK!S13</f>
        <v>2.6519999999999992</v>
      </c>
      <c r="I236" s="22">
        <f>Iran!S13</f>
        <v>1.4893499999999982</v>
      </c>
    </row>
    <row r="237" spans="1:9" ht="14.25" customHeight="1" x14ac:dyDescent="0.3">
      <c r="A237" s="56">
        <v>2012</v>
      </c>
      <c r="B237" s="22">
        <f>USA!S14</f>
        <v>2.3959999999999999</v>
      </c>
      <c r="C237" s="23">
        <f>Germany!S14</f>
        <v>-0.9239999999999986</v>
      </c>
      <c r="D237" s="22">
        <f>China!T14</f>
        <v>-0.40448000000000128</v>
      </c>
      <c r="E237" s="22">
        <f>Italy!S14</f>
        <v>1.7000000000000011</v>
      </c>
      <c r="F237" s="22">
        <f>France!S14</f>
        <v>1.0079999999999991</v>
      </c>
      <c r="G237" s="22">
        <f>Japan!T14</f>
        <v>0.48399999999999999</v>
      </c>
      <c r="H237" s="22">
        <f>UK!S14</f>
        <v>2.5519999999999996</v>
      </c>
      <c r="I237" s="22">
        <f>Iran!S14</f>
        <v>1.3143499999999992</v>
      </c>
    </row>
    <row r="238" spans="1:9" ht="14.25" customHeight="1" x14ac:dyDescent="0.3">
      <c r="A238" s="56">
        <v>2013</v>
      </c>
      <c r="B238" s="22">
        <f>USA!S15</f>
        <v>1.6960000000000006</v>
      </c>
      <c r="C238" s="23">
        <f>Germany!S15</f>
        <v>-1.1239999999999979</v>
      </c>
      <c r="D238" s="22">
        <f>China!T15</f>
        <v>-0.24248000000000047</v>
      </c>
      <c r="E238" s="22">
        <f>Italy!S15</f>
        <v>3.2000000000000011</v>
      </c>
      <c r="F238" s="22">
        <f>France!S15</f>
        <v>1.5079999999999991</v>
      </c>
      <c r="G238" s="22">
        <f>Japan!T15</f>
        <v>0.18400000000000016</v>
      </c>
      <c r="H238" s="22">
        <f>UK!S15</f>
        <v>2.1519999999999992</v>
      </c>
      <c r="I238" s="22">
        <f>Iran!S15</f>
        <v>-0.38565000000000182</v>
      </c>
    </row>
    <row r="239" spans="1:9" ht="14.25" customHeight="1" x14ac:dyDescent="0.3">
      <c r="A239" s="56">
        <v>2014</v>
      </c>
      <c r="B239" s="22">
        <f>USA!S16</f>
        <v>0.49600000000000044</v>
      </c>
      <c r="C239" s="23">
        <f>Germany!S16</f>
        <v>-1.3239999999999981</v>
      </c>
      <c r="D239" s="22">
        <f>China!T16</f>
        <v>-5.1480000000001525E-2</v>
      </c>
      <c r="E239" s="22">
        <f>Italy!S16</f>
        <v>3.6000000000000014</v>
      </c>
      <c r="F239" s="22">
        <f>France!S16</f>
        <v>1.5079999999999991</v>
      </c>
      <c r="G239" s="22">
        <f>Japan!T16</f>
        <v>-0.21599999999999975</v>
      </c>
      <c r="H239" s="22">
        <f>UK!S16</f>
        <v>0.75199999999999978</v>
      </c>
      <c r="I239" s="22">
        <f>Iran!S16</f>
        <v>-0.2856500000000004</v>
      </c>
    </row>
    <row r="240" spans="1:9" ht="14.25" customHeight="1" x14ac:dyDescent="0.3">
      <c r="A240" s="56">
        <v>2015</v>
      </c>
      <c r="B240" s="22">
        <f>USA!S17</f>
        <v>-0.40399999999999991</v>
      </c>
      <c r="C240" s="23">
        <f>Germany!S17</f>
        <v>-1.6239999999999979</v>
      </c>
      <c r="D240" s="22">
        <f>China!T17</f>
        <v>0.12151999999999852</v>
      </c>
      <c r="E240" s="22">
        <f>Italy!S17</f>
        <v>2.8000000000000007</v>
      </c>
      <c r="F240" s="22">
        <f>France!S17</f>
        <v>1.5079999999999991</v>
      </c>
      <c r="G240" s="22">
        <f>Japan!T17</f>
        <v>-0.41599999999999993</v>
      </c>
      <c r="H240" s="22">
        <f>UK!S17</f>
        <v>-4.8000000000000043E-2</v>
      </c>
      <c r="I240" s="22">
        <f>Iran!S17</f>
        <v>0.2143499999999996</v>
      </c>
    </row>
    <row r="241" spans="1:9" ht="14.25" customHeight="1" x14ac:dyDescent="0.3">
      <c r="A241" s="56">
        <v>2016</v>
      </c>
      <c r="B241" s="22">
        <f>USA!S18</f>
        <v>-0.80399999999999938</v>
      </c>
      <c r="C241" s="23">
        <f>Germany!S18</f>
        <v>-2.1239999999999983</v>
      </c>
      <c r="D241" s="22">
        <f>China!T18</f>
        <v>1.5519999999998646E-2</v>
      </c>
      <c r="E241" s="22">
        <f>Italy!S18</f>
        <v>2.5</v>
      </c>
      <c r="F241" s="22">
        <f>France!S18</f>
        <v>1.3079999999999981</v>
      </c>
      <c r="G241" s="22">
        <f>Japan!T18</f>
        <v>-0.71599999999999975</v>
      </c>
      <c r="H241" s="22">
        <f>UK!S18</f>
        <v>-0.54800000000000004</v>
      </c>
      <c r="I241" s="22">
        <f>Iran!S18</f>
        <v>1.5893499999999996</v>
      </c>
    </row>
    <row r="242" spans="1:9" ht="14.25" customHeight="1" x14ac:dyDescent="0.3">
      <c r="A242" s="56">
        <v>2017</v>
      </c>
      <c r="B242" s="22">
        <f>USA!S19</f>
        <v>-1.3039999999999994</v>
      </c>
      <c r="C242" s="23">
        <f>Germany!S19</f>
        <v>-2.5239999999999982</v>
      </c>
      <c r="D242" s="22">
        <f>China!T19</f>
        <v>-0.12748000000000204</v>
      </c>
      <c r="E242" s="22">
        <f>Italy!S19</f>
        <v>2.1000000000000014</v>
      </c>
      <c r="F242" s="22">
        <f>France!S19</f>
        <v>0.60799999999999876</v>
      </c>
      <c r="G242" s="22">
        <f>Japan!T19</f>
        <v>-1.016</v>
      </c>
      <c r="H242" s="22">
        <f>UK!S19</f>
        <v>-1.048</v>
      </c>
      <c r="I242" s="22">
        <f>Iran!S19</f>
        <v>1.2643499999999985</v>
      </c>
    </row>
    <row r="243" spans="1:9" ht="14.25" customHeight="1" x14ac:dyDescent="0.3">
      <c r="A243" s="56">
        <v>2018</v>
      </c>
      <c r="B243" s="22">
        <f>USA!S20</f>
        <v>-1.8039999999999998</v>
      </c>
      <c r="C243" s="23">
        <f>Germany!S20</f>
        <v>-2.8239999999999981</v>
      </c>
      <c r="D243" s="22">
        <f>China!T20</f>
        <v>-0.88448000000000171</v>
      </c>
      <c r="E243" s="22">
        <f>Italy!S20</f>
        <v>1.4000000000000004</v>
      </c>
      <c r="F243" s="22">
        <f>France!S20</f>
        <v>0.20799999999999841</v>
      </c>
      <c r="G243" s="22">
        <f>Japan!T20</f>
        <v>-1.4159999999999999</v>
      </c>
      <c r="H243" s="22">
        <f>UK!S20</f>
        <v>-1.3480000000000008</v>
      </c>
      <c r="I243" s="22">
        <f>Iran!S20</f>
        <v>1.2143499999999996</v>
      </c>
    </row>
    <row r="244" spans="1:9" ht="14.25" customHeight="1" x14ac:dyDescent="0.3">
      <c r="A244" s="56">
        <v>2019</v>
      </c>
      <c r="B244" s="22">
        <f>USA!S21</f>
        <v>-2.0039999999999996</v>
      </c>
      <c r="C244" s="23">
        <f>Germany!S21</f>
        <v>-3.0239999999999982</v>
      </c>
      <c r="D244" s="22">
        <f>China!T21</f>
        <v>0.12251999999999796</v>
      </c>
      <c r="E244" s="22">
        <f>Italy!S21</f>
        <v>0.70000000000000107</v>
      </c>
      <c r="F244" s="22">
        <f>France!S21</f>
        <v>-0.39200000000000124</v>
      </c>
      <c r="G244" s="22">
        <f>Japan!T21</f>
        <v>-1.4159999999999999</v>
      </c>
      <c r="H244" s="22">
        <f>UK!S21</f>
        <v>-1.5480000000000005</v>
      </c>
      <c r="I244" s="22">
        <f>Iran!S21</f>
        <v>-0.18565000000000076</v>
      </c>
    </row>
    <row r="245" spans="1:9" ht="14.25" customHeight="1" x14ac:dyDescent="0.3">
      <c r="A245" s="56">
        <v>2020</v>
      </c>
      <c r="B245" s="22">
        <f>USA!S22</f>
        <v>2.3959999999999999</v>
      </c>
      <c r="C245" s="23">
        <f>Germany!S22</f>
        <v>-2.3239999999999981</v>
      </c>
      <c r="D245" s="22">
        <f>China!T22</f>
        <v>2.0915199999999992</v>
      </c>
      <c r="E245" s="22">
        <f>Italy!S22</f>
        <v>0.20000000000000107</v>
      </c>
      <c r="F245" s="22">
        <f>France!S22</f>
        <v>-0.79200000000000159</v>
      </c>
      <c r="G245" s="22">
        <f>Japan!T22</f>
        <v>-1.016</v>
      </c>
      <c r="H245" s="22">
        <f>UK!S22</f>
        <v>-0.84800000000000075</v>
      </c>
      <c r="I245" s="22">
        <f>Iran!S22</f>
        <v>-1.2266500000000011</v>
      </c>
    </row>
    <row r="246" spans="1:9" ht="14.25" customHeight="1" x14ac:dyDescent="0.3">
      <c r="A246" s="56">
        <v>2021</v>
      </c>
      <c r="B246" s="22">
        <f>USA!S23</f>
        <v>-0.30399999999999938</v>
      </c>
      <c r="C246" s="23">
        <f>Germany!S23</f>
        <v>-2.4239999999999982</v>
      </c>
      <c r="D246" s="22">
        <f>China!T23</f>
        <v>1.8455199999999987</v>
      </c>
      <c r="E246" s="22">
        <f>Italy!S23</f>
        <v>0.40000000000000036</v>
      </c>
      <c r="F246" s="22">
        <f>France!S23</f>
        <v>-0.89200000000000124</v>
      </c>
      <c r="G246" s="22">
        <f>Japan!T23</f>
        <v>-1.016</v>
      </c>
      <c r="H246" s="22">
        <f>UK!S23</f>
        <v>-0.9480000000000004</v>
      </c>
      <c r="I246" s="22">
        <f>Iran!S23</f>
        <v>-1.6566500000000008</v>
      </c>
    </row>
    <row r="247" spans="1:9" ht="14.25" customHeight="1" x14ac:dyDescent="0.3">
      <c r="A247" s="56">
        <v>2022</v>
      </c>
      <c r="B247" s="22">
        <f>USA!S24</f>
        <v>-2.0039999999999996</v>
      </c>
      <c r="C247" s="23">
        <f>Germany!S24</f>
        <v>-2.9239999999999982</v>
      </c>
      <c r="D247" s="22">
        <f>China!T24</f>
        <v>4.1145199999999988</v>
      </c>
      <c r="E247" s="22">
        <f>Italy!S24</f>
        <v>-1.0999999999999996</v>
      </c>
      <c r="F247" s="22">
        <f>France!S24</f>
        <v>-1.4920000000000018</v>
      </c>
      <c r="G247" s="22">
        <f>Japan!T24</f>
        <v>-1.2159999999999997</v>
      </c>
      <c r="H247" s="22">
        <f>UK!S24</f>
        <v>-1.6480000000000006</v>
      </c>
      <c r="I247" s="22">
        <f>Iran!S24</f>
        <v>-1.8356500000000011</v>
      </c>
    </row>
    <row r="248" spans="1:9" ht="14.25" customHeight="1" x14ac:dyDescent="0.3">
      <c r="A248" s="56">
        <v>2023</v>
      </c>
      <c r="B248" s="22">
        <f>USA!S25</f>
        <v>-2.1039999999999996</v>
      </c>
      <c r="C248" s="23">
        <f>Germany!S25</f>
        <v>-2.9239999999999982</v>
      </c>
      <c r="D248" s="22">
        <f>China!T25</f>
        <v>5.0035199999999982</v>
      </c>
      <c r="E248" s="22">
        <f>Italy!S25</f>
        <v>-1.4999999999999991</v>
      </c>
      <c r="F248" s="22">
        <f>France!S25</f>
        <v>-1.4920000000000018</v>
      </c>
      <c r="G248" s="22">
        <f>Japan!T25</f>
        <v>-1.2159999999999997</v>
      </c>
      <c r="H248" s="22">
        <f>UK!S25</f>
        <v>-1.3480000000000008</v>
      </c>
      <c r="I248" s="22">
        <f>Iran!S25</f>
        <v>-2.7606500000000018</v>
      </c>
    </row>
    <row r="249" spans="1:9" ht="14.25" customHeight="1" x14ac:dyDescent="0.3">
      <c r="A249" s="56">
        <v>2024</v>
      </c>
      <c r="B249" s="22">
        <f>USA!S26</f>
        <v>-1.7039999999999997</v>
      </c>
      <c r="C249" s="23">
        <f>Germany!S26</f>
        <v>-2.6239999999999983</v>
      </c>
      <c r="D249" s="22">
        <f>China!T26</f>
        <v>4.4855199999999993</v>
      </c>
      <c r="E249" s="22">
        <f>Italy!S26</f>
        <v>-2.5999999999999996</v>
      </c>
      <c r="F249" s="22">
        <f>France!S26</f>
        <v>-1.2920000000000016</v>
      </c>
      <c r="G249" s="22">
        <f>Japan!T26</f>
        <v>-1.3159999999999998</v>
      </c>
      <c r="H249" s="22">
        <f>UK!S26</f>
        <v>-1.1480000000000006</v>
      </c>
      <c r="I249" s="22">
        <f>Iran!S26</f>
        <v>-3.2856500000000013</v>
      </c>
    </row>
    <row r="253" spans="1:9" ht="14.25" customHeight="1" x14ac:dyDescent="0.3">
      <c r="B253" s="58" t="s">
        <v>262</v>
      </c>
    </row>
    <row r="255" spans="1:9" ht="14.25" customHeight="1" x14ac:dyDescent="0.3">
      <c r="A255" s="62" t="s">
        <v>243</v>
      </c>
      <c r="B255" s="62" t="s">
        <v>257</v>
      </c>
      <c r="C255" s="62" t="s">
        <v>258</v>
      </c>
      <c r="D255" s="62" t="s">
        <v>259</v>
      </c>
      <c r="E255" s="62" t="s">
        <v>260</v>
      </c>
      <c r="F255" s="62" t="s">
        <v>261</v>
      </c>
    </row>
    <row r="256" spans="1:9" ht="14.25" customHeight="1" x14ac:dyDescent="0.3">
      <c r="A256" s="63" t="s">
        <v>234</v>
      </c>
      <c r="B256" s="66">
        <v>2.4644812002361243</v>
      </c>
      <c r="C256" s="66">
        <v>2.7931871539161364</v>
      </c>
      <c r="D256" s="66">
        <v>2.9520549518711681</v>
      </c>
      <c r="E256" s="66">
        <v>4</v>
      </c>
      <c r="F256" s="66">
        <f t="shared" ref="F256:F263" si="0">D256+E256</f>
        <v>6.9520549518711681</v>
      </c>
    </row>
    <row r="257" spans="1:6" ht="14.25" customHeight="1" x14ac:dyDescent="0.3">
      <c r="A257" s="63" t="s">
        <v>235</v>
      </c>
      <c r="B257" s="66">
        <v>0.13626253108941447</v>
      </c>
      <c r="C257" s="66">
        <v>4.0531606401049004E-2</v>
      </c>
      <c r="D257" s="66">
        <v>2.2564932777899438</v>
      </c>
      <c r="E257" s="66">
        <v>3.4</v>
      </c>
      <c r="F257" s="66">
        <f t="shared" si="0"/>
        <v>5.6564932777899433</v>
      </c>
    </row>
    <row r="258" spans="1:6" ht="14.25" customHeight="1" x14ac:dyDescent="0.3">
      <c r="A258" s="63" t="s">
        <v>236</v>
      </c>
      <c r="B258" s="66">
        <v>4.8799999999999972</v>
      </c>
      <c r="C258" s="66">
        <v>5.0000000000000036</v>
      </c>
      <c r="D258" s="66">
        <v>0.2181257208661424</v>
      </c>
      <c r="E258" s="66">
        <v>15.044</v>
      </c>
      <c r="F258" s="66">
        <f t="shared" si="0"/>
        <v>15.262125720866143</v>
      </c>
    </row>
    <row r="259" spans="1:6" ht="14.25" customHeight="1" x14ac:dyDescent="0.3">
      <c r="A259" s="63" t="s">
        <v>237</v>
      </c>
      <c r="B259" s="66">
        <v>1.2862680215874605</v>
      </c>
      <c r="C259" s="66">
        <v>0.58635073578461494</v>
      </c>
      <c r="D259" s="66">
        <v>0.98237302306139318</v>
      </c>
      <c r="E259" s="66">
        <v>6.6</v>
      </c>
      <c r="F259" s="66">
        <f t="shared" si="0"/>
        <v>7.5823730230613933</v>
      </c>
    </row>
    <row r="260" spans="1:6" ht="14.25" customHeight="1" x14ac:dyDescent="0.3">
      <c r="A260" s="63" t="s">
        <v>238</v>
      </c>
      <c r="B260" s="66">
        <v>1.0455992488941106</v>
      </c>
      <c r="C260" s="66">
        <v>1.4263884112210379</v>
      </c>
      <c r="D260" s="66">
        <v>1.999049422915165</v>
      </c>
      <c r="E260" s="66">
        <v>7.5</v>
      </c>
      <c r="F260" s="66">
        <f t="shared" si="0"/>
        <v>9.4990494229151654</v>
      </c>
    </row>
    <row r="261" spans="1:6" ht="14.25" customHeight="1" x14ac:dyDescent="0.3">
      <c r="A261" s="63" t="s">
        <v>239</v>
      </c>
      <c r="B261" s="66">
        <v>0.23289156028885363</v>
      </c>
      <c r="C261" s="66">
        <v>-0.16090508341253579</v>
      </c>
      <c r="D261" s="66">
        <v>2.7385368163524064</v>
      </c>
      <c r="E261" s="66">
        <v>2.5</v>
      </c>
      <c r="F261" s="66">
        <f t="shared" si="0"/>
        <v>5.238536816352406</v>
      </c>
    </row>
    <row r="262" spans="1:6" ht="14.25" customHeight="1" x14ac:dyDescent="0.3">
      <c r="A262" s="63" t="s">
        <v>240</v>
      </c>
      <c r="B262" s="66">
        <v>0.99179704110000078</v>
      </c>
      <c r="C262" s="66">
        <v>1.0424160769489028</v>
      </c>
      <c r="D262" s="66">
        <v>3.271572946358889</v>
      </c>
      <c r="E262" s="66">
        <v>4.3</v>
      </c>
      <c r="F262" s="66">
        <f t="shared" si="0"/>
        <v>7.5715729463588888</v>
      </c>
    </row>
    <row r="263" spans="1:6" ht="14.25" customHeight="1" x14ac:dyDescent="0.3">
      <c r="A263" s="63" t="s">
        <v>241</v>
      </c>
      <c r="B263" s="66">
        <v>4.3841976239232201</v>
      </c>
      <c r="C263" s="66">
        <v>3.6631205683071655</v>
      </c>
      <c r="D263" s="66">
        <v>32.788782114140034</v>
      </c>
      <c r="E263" s="66">
        <v>7.55</v>
      </c>
      <c r="F263" s="66">
        <f t="shared" si="0"/>
        <v>40.338782114140031</v>
      </c>
    </row>
    <row r="266" spans="1:6" ht="14.25" customHeight="1" x14ac:dyDescent="0.3">
      <c r="A266" s="64" t="s">
        <v>243</v>
      </c>
      <c r="B266" s="65" t="s">
        <v>261</v>
      </c>
    </row>
    <row r="267" spans="1:6" ht="14.25" customHeight="1" x14ac:dyDescent="0.3">
      <c r="A267" s="56" t="s">
        <v>239</v>
      </c>
      <c r="B267" s="23">
        <f>F261</f>
        <v>5.238536816352406</v>
      </c>
    </row>
    <row r="268" spans="1:6" ht="14.25" customHeight="1" x14ac:dyDescent="0.3">
      <c r="A268" s="56" t="s">
        <v>235</v>
      </c>
      <c r="B268" s="23">
        <f>F257</f>
        <v>5.6564932777899433</v>
      </c>
    </row>
    <row r="269" spans="1:6" ht="14.25" customHeight="1" x14ac:dyDescent="0.3">
      <c r="A269" s="56" t="s">
        <v>234</v>
      </c>
      <c r="B269" s="23">
        <f>F256</f>
        <v>6.9520549518711681</v>
      </c>
    </row>
    <row r="270" spans="1:6" ht="14.25" customHeight="1" x14ac:dyDescent="0.3">
      <c r="A270" s="56" t="s">
        <v>240</v>
      </c>
      <c r="B270" s="23">
        <f>F262</f>
        <v>7.5715729463588888</v>
      </c>
    </row>
    <row r="271" spans="1:6" ht="14.25" customHeight="1" x14ac:dyDescent="0.3">
      <c r="A271" s="56" t="s">
        <v>237</v>
      </c>
      <c r="B271" s="23">
        <f>F259</f>
        <v>7.5823730230613933</v>
      </c>
    </row>
    <row r="272" spans="1:6" ht="14.25" customHeight="1" x14ac:dyDescent="0.3">
      <c r="A272" s="56" t="s">
        <v>238</v>
      </c>
      <c r="B272" s="23">
        <f>F260</f>
        <v>9.4990494229151654</v>
      </c>
    </row>
    <row r="273" spans="1:6" ht="14.25" customHeight="1" x14ac:dyDescent="0.3">
      <c r="A273" s="56" t="s">
        <v>236</v>
      </c>
      <c r="B273" s="23">
        <f>F258</f>
        <v>15.262125720866143</v>
      </c>
    </row>
    <row r="274" spans="1:6" ht="14.25" customHeight="1" x14ac:dyDescent="0.3">
      <c r="A274" s="56" t="s">
        <v>241</v>
      </c>
      <c r="B274" s="23">
        <f>F263</f>
        <v>40.338782114140031</v>
      </c>
    </row>
    <row r="276" spans="1:6" ht="14.25" customHeight="1" x14ac:dyDescent="0.3">
      <c r="A276" s="68"/>
      <c r="B276" s="68"/>
      <c r="C276" s="68"/>
      <c r="D276" s="68"/>
      <c r="E276" s="68"/>
      <c r="F276" s="68"/>
    </row>
    <row r="277" spans="1:6" ht="14.25" customHeight="1" x14ac:dyDescent="0.3">
      <c r="A277" s="68"/>
      <c r="B277" s="68"/>
      <c r="C277" s="68"/>
      <c r="D277" s="68"/>
      <c r="E277" s="68"/>
      <c r="F277" s="68"/>
    </row>
  </sheetData>
  <mergeCells count="1">
    <mergeCell ref="A276:F277"/>
  </mergeCells>
  <conditionalFormatting sqref="B256:C2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6:F263">
    <cfRule type="colorScale" priority="1">
      <colorScale>
        <cfvo type="min"/>
        <cfvo type="max"/>
        <color theme="7" tint="0.79998168889431442"/>
        <color theme="7" tint="-0.249977111117893"/>
      </colorScale>
    </cfRule>
  </conditionalFormatting>
  <conditionalFormatting sqref="D256:F2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USA</vt:lpstr>
      <vt:lpstr>Germany</vt:lpstr>
      <vt:lpstr>China</vt:lpstr>
      <vt:lpstr>Italy</vt:lpstr>
      <vt:lpstr>France</vt:lpstr>
      <vt:lpstr>Japan</vt:lpstr>
      <vt:lpstr>UK</vt:lpstr>
      <vt:lpstr>Iran</vt:lpstr>
      <vt:lpstr>Comaprison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</cp:lastModifiedBy>
  <cp:revision>3</cp:revision>
  <dcterms:created xsi:type="dcterms:W3CDTF">2026-08-14T09:24:13Z</dcterms:created>
  <dcterms:modified xsi:type="dcterms:W3CDTF">2026-08-14T15:38:28Z</dcterms:modified>
  <dc:language>en-US</dc:language>
</cp:coreProperties>
</file>